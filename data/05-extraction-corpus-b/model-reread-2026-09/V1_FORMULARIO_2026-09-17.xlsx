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Resumo" sheetId="2" state="visible" r:id="rId4"/>
    <sheet name="Listas" sheetId="3" state="hidden" r:id="rId5"/>
    <sheet name="MEC" sheetId="4" state="visible" r:id="rId6"/>
    <sheet name="ADP" sheetId="5" state="visible" r:id="rId7"/>
    <sheet name="MODELOS" sheetId="6" state="visible" r:id="rId8"/>
    <sheet name="Tempos" sheetId="7" state="visible" r:id="rId9"/>
  </sheets>
  <definedNames>
    <definedName function="false" hidden="true" localSheetId="4" name="_xlnm._FilterDatabase" vbProcedure="false">ADP!$A$1:$X$92</definedName>
    <definedName function="false" hidden="true" localSheetId="3" name="_xlnm._FilterDatabase" vbProcedure="false">MEC!$A$1:$U$146</definedName>
    <definedName function="false" hidden="true" localSheetId="5" name="_xlnm._FilterDatabase" vbProcedure="false">MODELOS!$A$1:$Q$133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<sst xmlns="http://schemas.openxmlformats.org/spreadsheetml/2006/main" count="5422" uniqueCount="1189">
  <si>
    <t xml:space="preserve">Verificação V1 do Stage C — Corpus B</t>
  </si>
  <si>
    <t xml:space="preserve">Gerado 2026-09-17 por stage_c/verification_v1/v1_build.py. Não edita nenhum registo; o que escreveres aqui é lido por v1_apply.py.</t>
  </si>
  <si>
    <t xml:space="preserve">O que é V1</t>
  </si>
  <si>
    <t xml:space="preserve">Abres a página citada, confirmas que a citação lá está e decides se ela sustenta o valor registado. G1/G2 (existe, página certa) já passaram por script; G3 (sustenta?) é o teu juízo. V1 não confirma ausências: essas precisam de V2 e não estão aqui.</t>
  </si>
  <si>
    <t xml:space="preserve">Como trabalhar</t>
  </si>
  <si>
    <t xml:space="preserve">1. Filtra Tier = T1 em MEC, ADP e MODELOS. Faz T1 inteiro antes de T2–T4: é o que o Cap. 3 nomeia. T2 completa o R5 (claim_status), T3 o R6/R8, T4 o R11/R12.</t>
  </si>
  <si>
    <t xml:space="preserve">2. Artigo a artigo: abre pdfs/&lt;artigo&gt;.V1.pdf. A capa lista os itens; cada citação está destacada na cor do tier e etiquetada com o Nº (MEC-001…). Destaques não localizados levam etiqueta vermelha no topo da página.</t>
  </si>
  <si>
    <t xml:space="preserve">3. Só editas as colunas com fundo amarelo claro. Os valores vêm pré-preenchidos com o que o extractor registou: se estão certos, não mexes; se estão errados, escolhes o valor certo na lista. A célula fica laranja quando difere do registado.</t>
  </si>
  <si>
    <t xml:space="preserve">4. 'Citação sustenta?' = S se a frase, lida no seu parágrafo, justifica o valor (depois da tua correção, se houve). N se não justifica nenhum valor possível; explica na Nota.</t>
  </si>
  <si>
    <t xml:space="preserve">5. 'Mantém?' (MEC/ADP) = N quando a ocorrência não devia existir: não é limitação do modelo (é limitação do estudo ou barreira), duplicado, ou outro motivo na Nota.</t>
  </si>
  <si>
    <t xml:space="preserve">6. 'Verificado' = S quando acabaste o item. Só os itens com S contam como V1.</t>
  </si>
  <si>
    <t xml:space="preserve">7. Em Tempos, escreve os minutos por artigo. Os primeiros 3 artigos dão a estimativa real para o resto.</t>
  </si>
  <si>
    <t xml:space="preserve">Linha de exemplo (não está nas folhas)</t>
  </si>
  <si>
    <t xml:space="preserve">MEC-042 | T1 | rayyan-472535680 | Yao (2016) | p.8 | Citação sustenta? S | Efeito: validity envelope exceeded | Causa: operating mode or campaign change | claim_status: applied to the case → corrigido para empirically demonstrated (a figura 6 mostra os dados) | Mantém? S | Nota: 'Fig. 6 do próprio estudo' | Verificado: S</t>
  </si>
  <si>
    <t xml:space="preserve">Critérios (resumo do PROMPT_EXTRACTION §4–8)</t>
  </si>
  <si>
    <t xml:space="preserve">claim_status — general: propriedade de métodos em princípio (definição, cautela da literatura). applied to the case: afirmado sobre o modelo DESTE estudo. empirically demonstrated: mostrado com os dados DESTE estudo. Uma definição de heteroscedasticidade é general, mesmo num artigo de caso.</t>
  </si>
  <si>
    <t xml:space="preserve">Mecanismo vs limitação do estudo vs barreira — mecanismo: condiciona se o modelo pode ser construído ou confiado. Limitação do estudo: um estudo maior/diferente resolvia sem mudar o modelo. Barreira: pessoas, dinheiro, organização, manutenção.</t>
  </si>
  <si>
    <t xml:space="preserve">Causa — só a causa física/operacional que o artigo NOMEIA. 'not stated' é a resposta normal. Nunca inferir.</t>
  </si>
  <si>
    <t xml:space="preserve">Efeito — non-stationarity = a relação do processo muda; baseline drift or expiry = o modelo/baseline caduca e precisa de ser refeito.</t>
  </si>
  <si>
    <t xml:space="preserve">Adaptação — status: proposed (futuro, recomendação), implemented (feito no estudo), evaluated (comparado com alternativa). 'Liga a mecanismo' só se o artigo liga explicitamente; indica o K-id (lista em 'Mecanismos do artigo') ou deixa vazio.</t>
  </si>
  <si>
    <t xml:space="preserve">Enquadramento normativo — ISO 50001/50006 explicit: a adaptação é justificada citando a norma. implicit: vocabulário da norma (EnPI, EnB, variáveis relevantes) sem a citar para esta adaptação. absent: nenhum.</t>
  </si>
  <si>
    <t xml:space="preserve">C5 — data_origin e boundary_correspondence são independentes (uma fatura pode coincidir exatamente com a fronteira; uma tag de historiador calculada pode não).</t>
  </si>
  <si>
    <t xml:space="preserve">C6 — regime declarado só se o artigo diz quando/como a baseline é refeita. C7 — envelope: numérico se dá limites (ex.: 70–100 % da carga). C8 OOS — erro em dados não usados no ajuste; R² de treino não conta.</t>
  </si>
  <si>
    <t xml:space="preserve">Cores dos tiers: T1 amarelo · T2 azul · T3 verde · T4 laranja. Célula laranja-salmão = valor alterado por ti.</t>
  </si>
  <si>
    <t xml:space="preserve">Resumo da verificação V1 (fórmulas; atualiza sozinho)</t>
  </si>
  <si>
    <t xml:space="preserve">Folha</t>
  </si>
  <si>
    <t xml:space="preserve">Tier</t>
  </si>
  <si>
    <t xml:space="preserve">Itens</t>
  </si>
  <si>
    <t xml:space="preserve">Verificados</t>
  </si>
  <si>
    <t xml:space="preserve">% verificados</t>
  </si>
  <si>
    <t xml:space="preserve">Com valor alterado</t>
  </si>
  <si>
    <t xml:space="preserve">Citação não sustenta</t>
  </si>
  <si>
    <t xml:space="preserve">Retirados (Mantém? = N…)</t>
  </si>
  <si>
    <t xml:space="preserve">MEC</t>
  </si>
  <si>
    <t xml:space="preserve">T1</t>
  </si>
  <si>
    <t xml:space="preserve">T2</t>
  </si>
  <si>
    <t xml:space="preserve">ADP</t>
  </si>
  <si>
    <t xml:space="preserve">T3</t>
  </si>
  <si>
    <t xml:space="preserve">MODELOS</t>
  </si>
  <si>
    <t xml:space="preserve">—</t>
  </si>
  <si>
    <t xml:space="preserve">T4</t>
  </si>
  <si>
    <t xml:space="preserve">Total</t>
  </si>
  <si>
    <t xml:space="preserve">effect</t>
  </si>
  <si>
    <t xml:space="preserve">cause</t>
  </si>
  <si>
    <t xml:space="preserve">claim</t>
  </si>
  <si>
    <t xml:space="preserve">adaptation</t>
  </si>
  <si>
    <t xml:space="preserve">status</t>
  </si>
  <si>
    <t xml:space="preserve">framing</t>
  </si>
  <si>
    <t xml:space="preserve">C5 data_origin</t>
  </si>
  <si>
    <t xml:space="preserve">C5 boundary</t>
  </si>
  <si>
    <t xml:space="preserve">C6 regime</t>
  </si>
  <si>
    <t xml:space="preserve">C7 statement</t>
  </si>
  <si>
    <t xml:space="preserve">C8 OOS status</t>
  </si>
  <si>
    <t xml:space="preserve">C13</t>
  </si>
  <si>
    <t xml:space="preserve">yn</t>
  </si>
  <si>
    <t xml:space="preserve">keep</t>
  </si>
  <si>
    <t xml:space="preserve">done</t>
  </si>
  <si>
    <t xml:space="preserve">non-stationarity of the relationship</t>
  </si>
  <si>
    <t xml:space="preserve">fouling</t>
  </si>
  <si>
    <t xml:space="preserve">general</t>
  </si>
  <si>
    <t xml:space="preserve">rolling window</t>
  </si>
  <si>
    <t xml:space="preserve">proposed</t>
  </si>
  <si>
    <t xml:space="preserve">ISO 50001/50006 explicit</t>
  </si>
  <si>
    <t xml:space="preserve">dedicated meter</t>
  </si>
  <si>
    <t xml:space="preserve">exact</t>
  </si>
  <si>
    <t xml:space="preserve">not stated</t>
  </si>
  <si>
    <t xml:space="preserve">stated with numeric bounds</t>
  </si>
  <si>
    <t xml:space="preserve">reported</t>
  </si>
  <si>
    <t xml:space="preserve">yes</t>
  </si>
  <si>
    <t xml:space="preserve">S</t>
  </si>
  <si>
    <t xml:space="preserve">baseline drift or expiry</t>
  </si>
  <si>
    <t xml:space="preserve">catalyst deactivation</t>
  </si>
  <si>
    <t xml:space="preserve">applied to the case</t>
  </si>
  <si>
    <t xml:space="preserve">segmented baseline</t>
  </si>
  <si>
    <t xml:space="preserve">implemented</t>
  </si>
  <si>
    <t xml:space="preserve">implicit</t>
  </si>
  <si>
    <t xml:space="preserve">site meter</t>
  </si>
  <si>
    <t xml:space="preserve">allocated by rule</t>
  </si>
  <si>
    <t xml:space="preserve">explicitly none in period</t>
  </si>
  <si>
    <t xml:space="preserve">stated qualitatively</t>
  </si>
  <si>
    <t xml:space="preserve">not reported</t>
  </si>
  <si>
    <t xml:space="preserve">partial</t>
  </si>
  <si>
    <t xml:space="preserve">N</t>
  </si>
  <si>
    <t xml:space="preserve">N — não é limitação do modelo</t>
  </si>
  <si>
    <t xml:space="preserve">validity envelope exceeded</t>
  </si>
  <si>
    <t xml:space="preserve">feedstock quality or composition change</t>
  </si>
  <si>
    <t xml:space="preserve">empirically demonstrated</t>
  </si>
  <si>
    <t xml:space="preserve">change-point</t>
  </si>
  <si>
    <t xml:space="preserve">evaluated</t>
  </si>
  <si>
    <t xml:space="preserve">absent</t>
  </si>
  <si>
    <t xml:space="preserve">invoice or utility bill</t>
  </si>
  <si>
    <t xml:space="preserve">allocated by estimate</t>
  </si>
  <si>
    <t xml:space="preserve">fixed, not mentioned</t>
  </si>
  <si>
    <t xml:space="preserve">not applicable</t>
  </si>
  <si>
    <t xml:space="preserve">no</t>
  </si>
  <si>
    <t xml:space="preserve">N — duplicado</t>
  </si>
  <si>
    <t xml:space="preserve">statistical misspecification</t>
  </si>
  <si>
    <t xml:space="preserve">product mix or grade change</t>
  </si>
  <si>
    <t xml:space="preserve">additional normalisation variable</t>
  </si>
  <si>
    <t xml:space="preserve">process historian tag</t>
  </si>
  <si>
    <t xml:space="preserve">mismatch acknowledged</t>
  </si>
  <si>
    <t xml:space="preserve">periodic, interval stated</t>
  </si>
  <si>
    <t xml:space="preserve">N — outro (nota)</t>
  </si>
  <si>
    <t xml:space="preserve">observability gap — quantity not measured</t>
  </si>
  <si>
    <t xml:space="preserve">equipment degradation or ageing</t>
  </si>
  <si>
    <t xml:space="preserve">hybrid physical-statistical</t>
  </si>
  <si>
    <t xml:space="preserve">calculated from process data</t>
  </si>
  <si>
    <t xml:space="preserve">event-triggered, trigger stated</t>
  </si>
  <si>
    <t xml:space="preserve">data quality — missing, erroneous or discontinuous data</t>
  </si>
  <si>
    <t xml:space="preserve">operating mode or campaign change</t>
  </si>
  <si>
    <t xml:space="preserve">online re-estimation</t>
  </si>
  <si>
    <t xml:space="preserve">laboratory assay</t>
  </si>
  <si>
    <t xml:space="preserve">insufficient data length for the model</t>
  </si>
  <si>
    <t xml:space="preserve">ambient conditions</t>
  </si>
  <si>
    <t xml:space="preserve">outlier exclusion</t>
  </si>
  <si>
    <t xml:space="preserve">simulation</t>
  </si>
  <si>
    <t xml:space="preserve">online or adaptive</t>
  </si>
  <si>
    <t xml:space="preserve">multi-product allocation</t>
  </si>
  <si>
    <t xml:space="preserve">plant or process modification</t>
  </si>
  <si>
    <t xml:space="preserve">weighted estimation</t>
  </si>
  <si>
    <t xml:space="preserve">baseload or non-productive energy</t>
  </si>
  <si>
    <t xml:space="preserve">concurrent improvement programme</t>
  </si>
  <si>
    <t xml:space="preserve">normalisation to a reference product</t>
  </si>
  <si>
    <t xml:space="preserve">cross-site comparability</t>
  </si>
  <si>
    <t xml:space="preserve">other</t>
  </si>
  <si>
    <t xml:space="preserve">improved metering</t>
  </si>
  <si>
    <t xml:space="preserve">indicator not meaningful as defined</t>
  </si>
  <si>
    <t xml:space="preserve">Nº</t>
  </si>
  <si>
    <t xml:space="preserve">Artigo</t>
  </si>
  <si>
    <t xml:space="preserve">Autor (ano)</t>
  </si>
  <si>
    <t xml:space="preserve">Pág.</t>
  </si>
  <si>
    <t xml:space="preserve">Pág. corrigida?</t>
  </si>
  <si>
    <t xml:space="preserve">ID no registo</t>
  </si>
  <si>
    <t xml:space="preserve">Citação</t>
  </si>
  <si>
    <t xml:space="preserve">support_class</t>
  </si>
  <si>
    <t xml:space="preserve">Other (verbatim)</t>
  </si>
  <si>
    <t xml:space="preserve">Localização no PDF</t>
  </si>
  <si>
    <t xml:space="preserve">Citação sustenta?</t>
  </si>
  <si>
    <t xml:space="preserve">Efeito</t>
  </si>
  <si>
    <t xml:space="preserve">Causa</t>
  </si>
  <si>
    <t xml:space="preserve">claim_status</t>
  </si>
  <si>
    <t xml:space="preserve">Mantém?</t>
  </si>
  <si>
    <t xml:space="preserve">Nota</t>
  </si>
  <si>
    <t xml:space="preserve">Verificado</t>
  </si>
  <si>
    <t xml:space="preserve">orig_Efeito</t>
  </si>
  <si>
    <t xml:space="preserve">orig_Causa</t>
  </si>
  <si>
    <t xml:space="preserve">orig_claim_status</t>
  </si>
  <si>
    <t xml:space="preserve">MEC-001</t>
  </si>
  <si>
    <t xml:space="preserve">rayyan-472535351</t>
  </si>
  <si>
    <t xml:space="preserve">Almanza (2025)</t>
  </si>
  <si>
    <t xml:space="preserve">K1 → M1</t>
  </si>
  <si>
    <t xml:space="preserve">The main assumptions adopted for the simulation model have to do with the fact that the cogeneration plant is representative of the energy and environmental performance of the refinery</t>
  </si>
  <si>
    <t xml:space="preserve">direct statement</t>
  </si>
  <si>
    <t xml:space="preserve">efeito other: model assumes the cogeneration plant is representative of the whole refinery's energy and environmental performance</t>
  </si>
  <si>
    <t xml:space="preserve">destacada</t>
  </si>
  <si>
    <t xml:space="preserve">MEC-003</t>
  </si>
  <si>
    <t xml:space="preserve">K3 → M1</t>
  </si>
  <si>
    <t xml:space="preserve">natural gas is sampled from all fossil fuels used as energy sources since it is widely used and considered IEU by the refinery</t>
  </si>
  <si>
    <t xml:space="preserve">efeito other: only natural gas is modelled as a sample representing all fossil fuels used</t>
  </si>
  <si>
    <t xml:space="preserve">MEC-002</t>
  </si>
  <si>
    <t xml:space="preserve">K2 → M1</t>
  </si>
  <si>
    <t xml:space="preserve">Except for boiler CB5, the values returned by the model are lower than the real values.</t>
  </si>
  <si>
    <t xml:space="preserve">efeito other: model systematically underestimates natural gas consumption relative to real values (except one boiler)</t>
  </si>
  <si>
    <t xml:space="preserve">MEC-004</t>
  </si>
  <si>
    <t xml:space="preserve">K4 → M1</t>
  </si>
  <si>
    <t xml:space="preserve">these conventional indicators are absolute and can give a distorted perception of overall performance, since energy generation increases in greater proportion to the increase in fuel consumption</t>
  </si>
  <si>
    <t xml:space="preserve">MEC-005</t>
  </si>
  <si>
    <t xml:space="preserve">rayyan-472535365</t>
  </si>
  <si>
    <t xml:space="preserve">Moghadasi (2025)</t>
  </si>
  <si>
    <t xml:space="preserve">Therefore, all data recorded during startup, overhaul, etc., as well as noise points, were removed from the dataset.</t>
  </si>
  <si>
    <t xml:space="preserve">causa other: outliers, out-of-range data and startup/overhaul periods in the raw DCS dataset</t>
  </si>
  <si>
    <t xml:space="preserve">MEC-006</t>
  </si>
  <si>
    <t xml:space="preserve">At first, a multicollinearity study was accomplished in the feature selection procedure to avoid target leakage by choosing independent features.</t>
  </si>
  <si>
    <t xml:space="preserve">MEC-007</t>
  </si>
  <si>
    <t xml:space="preserve">rayyan-472535376</t>
  </si>
  <si>
    <t xml:space="preserve">Benmakhlouf (2025)</t>
  </si>
  <si>
    <t xml:space="preserve">Steam and water systems are the most complicated in the plant, as they lack the instruments needed for their proper definition.</t>
  </si>
  <si>
    <t xml:space="preserve">MEC-008</t>
  </si>
  <si>
    <t xml:space="preserve">rayyan-472535405</t>
  </si>
  <si>
    <t xml:space="preserve">Khalid (2024)</t>
  </si>
  <si>
    <t xml:space="preserve">K1 → paper-level argument</t>
  </si>
  <si>
    <t xml:space="preserve">EnPIs can as effectively be identified and calculated as much detailed data is provided by the mills.</t>
  </si>
  <si>
    <t xml:space="preserve">MEC-009</t>
  </si>
  <si>
    <t xml:space="preserve">K2 → paper-level argument</t>
  </si>
  <si>
    <t xml:space="preserve">The precision of the monitoring system and the efficiency of equipment/process/plants can further give detailed and accurate energy intensity.</t>
  </si>
  <si>
    <t xml:space="preserve">requires inference</t>
  </si>
  <si>
    <t xml:space="preserve">MEC-010</t>
  </si>
  <si>
    <t xml:space="preserve">rayyan-472535480</t>
  </si>
  <si>
    <t xml:space="preserve">Andersson (2021)</t>
  </si>
  <si>
    <t xml:space="preserve">As the performance of production processes varies with changing conditions, such as the feedstock quality, the influence of these conditions on the developed EnPIs has to be accounted for in the analysis of the energy performance</t>
  </si>
  <si>
    <t xml:space="preserve">MEC-011</t>
  </si>
  <si>
    <t xml:space="preserve">Since the normal state of a mill will be unique, as it depends on factors such as technology used, chemicals used, type of end-product, raw material, etc., ‘‘the normal state’’ has to be defined individually for each mill.</t>
  </si>
  <si>
    <t xml:space="preserve">MEC-014</t>
  </si>
  <si>
    <t xml:space="preserve">K5 → M2</t>
  </si>
  <si>
    <t xml:space="preserve">the explanatory indicator is not tied to the process of which the descriptive indicators are analyzed.</t>
  </si>
  <si>
    <t xml:space="preserve">MEC-012</t>
  </si>
  <si>
    <t xml:space="preserve">This means that the mill defines multiple normal states of operation for every type of pulp quality produced, raw material used, etc.</t>
  </si>
  <si>
    <t xml:space="preserve">MEC-013</t>
  </si>
  <si>
    <t xml:space="preserve">K4 → paper-level argument</t>
  </si>
  <si>
    <t xml:space="preserve">it was found that the amount of residual alkali in the black liquor had increased from 5 g/L to 9 g/L. This resulted in the larger demand of lime in the lime kiln.</t>
  </si>
  <si>
    <t xml:space="preserve">MEC-018</t>
  </si>
  <si>
    <t xml:space="preserve">rayyan-472535522</t>
  </si>
  <si>
    <t xml:space="preserve">Espinel-Blanco (2020)</t>
  </si>
  <si>
    <t xml:space="preserve">K4 → A1</t>
  </si>
  <si>
    <t xml:space="preserve">the burners and boilers are always operating at the same load regardless of the level of production</t>
  </si>
  <si>
    <t xml:space="preserve">MEC-017</t>
  </si>
  <si>
    <t xml:space="preserve">K3 → M2</t>
  </si>
  <si>
    <t xml:space="preserve">the consumption of coal presents a diﬀerent behavior to the production, showing that these variations of consumption are not associated with production but are possibly outside the optimal parameters.</t>
  </si>
  <si>
    <t xml:space="preserve">MEC-015</t>
  </si>
  <si>
    <t xml:space="preserve">K1 → M2</t>
  </si>
  <si>
    <t xml:space="preserve">However, in the case of coal, this value was very low. This can be explained by the fact that there is no measurement of the steam that enters the machine.</t>
  </si>
  <si>
    <t xml:space="preserve">MEC-016</t>
  </si>
  <si>
    <t xml:space="preserve">K2 → A1</t>
  </si>
  <si>
    <t xml:space="preserve">the consumption not associated with production for gas and coal is 20%, as opposed to 65% for electrical energy, which indicates strong consumption that does not contribute to production.</t>
  </si>
  <si>
    <t xml:space="preserve">MEC-022</t>
  </si>
  <si>
    <t xml:space="preserve">rayyan-472535524</t>
  </si>
  <si>
    <t xml:space="preserve">Beisheim (2020)</t>
  </si>
  <si>
    <t xml:space="preserve">One essential requirement for the evaluation is the correction of these indicators and the corresponding baselines by the influences of external static or dynamic factors, e.g. the ambient conditions, the product spectrum or the plant load.</t>
  </si>
  <si>
    <t xml:space="preserve">MEC-019</t>
  </si>
  <si>
    <t xml:space="preserve">the definition of system boundaries and assumptions used for the evaluation often vary which hinders the comparison of SECs taken from different studies.</t>
  </si>
  <si>
    <t xml:space="preserve">MEC-020</t>
  </si>
  <si>
    <t xml:space="preserve">One of the difficulties occurs for integrated processes as a clear allocation of the energy consumption to specific production steps or products is not possible.</t>
  </si>
  <si>
    <t xml:space="preserve">MEC-024</t>
  </si>
  <si>
    <t xml:space="preserve">K6 → M1</t>
  </si>
  <si>
    <t xml:space="preserve">The energy consumption of a single product in a multi-product process can only be determined by incorporating additional process knowledge.</t>
  </si>
  <si>
    <t xml:space="preserve">MEC-021</t>
  </si>
  <si>
    <t xml:space="preserve">The contributors to this deviation are not identified by the model and thus are unknown unless additional process knowledge is incorporated.</t>
  </si>
  <si>
    <t xml:space="preserve">MEC-023</t>
  </si>
  <si>
    <t xml:space="preserve">K5 → A1</t>
  </si>
  <si>
    <t xml:space="preserve">It has been shown that seasonal effects, e.g. the utilization or the ambient temperature, can have a strong impact on the absolute value of the energy intensity of an integrated production site</t>
  </si>
  <si>
    <t xml:space="preserve">MEC-027</t>
  </si>
  <si>
    <t xml:space="preserve">rayyan-472535532</t>
  </si>
  <si>
    <t xml:space="preserve">Mahesthi (2020)</t>
  </si>
  <si>
    <t xml:space="preserve">K3 → paper-level argument</t>
  </si>
  <si>
    <t xml:space="preserve">Does not account for baseload and non-linear effects</t>
  </si>
  <si>
    <t xml:space="preserve">MEC-028</t>
  </si>
  <si>
    <t xml:space="preserve">Do not measure energy efficiency</t>
  </si>
  <si>
    <t xml:space="preserve">MEC-026</t>
  </si>
  <si>
    <t xml:space="preserve">K2 → M6</t>
  </si>
  <si>
    <t xml:space="preserve">A decrease in mill capacity with the same baseload causes the intensity of electrical energy consumption to increase.</t>
  </si>
  <si>
    <t xml:space="preserve">MEC-025</t>
  </si>
  <si>
    <t xml:space="preserve">K1 → M6</t>
  </si>
  <si>
    <t xml:space="preserve">Changes in cement process production, in this case the clinker index reduction program has an impact on electrical energy performance.</t>
  </si>
  <si>
    <t xml:space="preserve">MEC-029</t>
  </si>
  <si>
    <t xml:space="preserve">rayyan-472535550</t>
  </si>
  <si>
    <t xml:space="preserve">Hamedi (2019)</t>
  </si>
  <si>
    <t xml:space="preserve">First, it does not reﬂect many of the inﬂuential variables related to climate, production mix, product and raw material properties, operators</t>
  </si>
  <si>
    <t xml:space="preserve">MEC-030</t>
  </si>
  <si>
    <t xml:space="preserve">it does not include the constant segment of energy consumption so called as base load</t>
  </si>
  <si>
    <t xml:space="preserve">MEC-031</t>
  </si>
  <si>
    <t xml:space="preserve">inaccuracy and non-linearity that might be misleading, while rigorous and reliable approaches are likely more complex and out of interest and agenda of most of the managers</t>
  </si>
  <si>
    <t xml:space="preserve">MEC-037</t>
  </si>
  <si>
    <t xml:space="preserve">K9 → paper-level argument</t>
  </si>
  <si>
    <t xml:space="preserve">It should be noted that small number of hidden layers increase errors and the correlation of the output and input cannot be analyzed, but more than enough hidden layers may lead to irrelevant noise to the correlation of both and the error grow accordingly</t>
  </si>
  <si>
    <t xml:space="preserve">MEC-036</t>
  </si>
  <si>
    <t xml:space="preserve">K8 → A1</t>
  </si>
  <si>
    <t xml:space="preserve">The noisy data that belong to the days within which, the plant has been under maintenance or long-term overhaul are eliminated to decrease the errors (118 days).</t>
  </si>
  <si>
    <t xml:space="preserve">MEC-032</t>
  </si>
  <si>
    <t xml:space="preserve">assumption of homoscedasticity of variance tested (varset2 toolbox in MATLAB® software) and the results (h=1) indicate the rejection of null hypothesis at 5 per cent signiﬁcance level.</t>
  </si>
  <si>
    <t xml:space="preserve">MEC-038</t>
  </si>
  <si>
    <t xml:space="preserve">K10 → paper-level argument</t>
  </si>
  <si>
    <t xml:space="preserve">Before using the generated models, it should be mentioned that we assumed the same performance between the training and test data sets.</t>
  </si>
  <si>
    <t xml:space="preserve">MEC-034</t>
  </si>
  <si>
    <t xml:space="preserve">K6 → A1</t>
  </si>
  <si>
    <t xml:space="preserve">Technically, these drivers are not all measurable and with high probability increase the energy consumption then monitoring them can assist preventing over consumption in the industrial units such as LDPE plants.</t>
  </si>
  <si>
    <t xml:space="preserve">MEC-033</t>
  </si>
  <si>
    <t xml:space="preserve">K5 → paper-level argument</t>
  </si>
  <si>
    <t xml:space="preserve">both MLR and MLP ANN models are challenged with unknown drivers</t>
  </si>
  <si>
    <t xml:space="preserve">MEC-035</t>
  </si>
  <si>
    <t xml:space="preserve">K7 → paper-level argument</t>
  </si>
  <si>
    <t xml:space="preserve">This was mainly the source of prediction error recorded for output 2 and 3.</t>
  </si>
  <si>
    <t xml:space="preserve">MEC-039</t>
  </si>
  <si>
    <t xml:space="preserve">rayyan-472535582</t>
  </si>
  <si>
    <t xml:space="preserve">Morales (2018)</t>
  </si>
  <si>
    <t xml:space="preserve">The energy performance of steam boilers, such as the efficiency and the evaporation ratio can decrease along time because of the poor combustion, heat transfer fouling, poor operation, and low maintenance rate.</t>
  </si>
  <si>
    <t xml:space="preserve">MEC-040</t>
  </si>
  <si>
    <t xml:space="preserve">K2 → M3</t>
  </si>
  <si>
    <t xml:space="preserve">It is important to note that the low efficiency peaks of 22 January, 17 February and 20 February are associated with the random nature of the process and are not the result of variation in the energy management system.</t>
  </si>
  <si>
    <t xml:space="preserve">efeito other: some low-efficiency index peaks reflect random process variation rather than genuine management/energy variation; causa other: random nature of the process (random operational variation)</t>
  </si>
  <si>
    <t xml:space="preserve">MEC-042</t>
  </si>
  <si>
    <t xml:space="preserve">rayyan-472535585</t>
  </si>
  <si>
    <t xml:space="preserve">Pelser (2018)</t>
  </si>
  <si>
    <t xml:space="preserve">The measurement of this risk could be improved by installing more refined meters on different components of the equipment.</t>
  </si>
  <si>
    <t xml:space="preserve">MEC-041</t>
  </si>
  <si>
    <t xml:space="preserve">K1 → A1</t>
  </si>
  <si>
    <t xml:space="preserve">The “Clinker production” and “Total energy per clinker produced” EnPIs were not evaluated as part of this study, as the plant does not continuously produce clinker.</t>
  </si>
  <si>
    <t xml:space="preserve">MEC-043</t>
  </si>
  <si>
    <t xml:space="preserve">rayyan-472535625</t>
  </si>
  <si>
    <t xml:space="preserve">Ikeyama (2017)</t>
  </si>
  <si>
    <t xml:space="preserve">when a production volume is decreased, energy consumption which does not contribute to the production volume (called as baseload) has effects on the specific energy consumption.</t>
  </si>
  <si>
    <t xml:space="preserve">causa other: decrease of production volume</t>
  </si>
  <si>
    <t xml:space="preserve">MEC-044</t>
  </si>
  <si>
    <t xml:space="preserve">If specific energy consumption is identified as EnPI, decreasing production volume might make to cancel out the effect of energy efficiency activities, because the denominator of the specific energy consumption is the production volume.</t>
  </si>
  <si>
    <t xml:space="preserve">MEC-046</t>
  </si>
  <si>
    <t xml:space="preserve">rayyan-472535649</t>
  </si>
  <si>
    <t xml:space="preserve">Ochoa (2017)</t>
  </si>
  <si>
    <t xml:space="preserve">In order to calculate an equivalent production, it is necessary to determine a value for the energy consumption as the sum of every level of production times its corresponding energy intensity for every different product, as in Eq(2).</t>
  </si>
  <si>
    <t xml:space="preserve">MEC-045</t>
  </si>
  <si>
    <t xml:space="preserve">the application of limits of control for data of consumption of gas and production so that to exclude data considered atypical</t>
  </si>
  <si>
    <t xml:space="preserve">MEC-047</t>
  </si>
  <si>
    <t xml:space="preserve">K3 → M4</t>
  </si>
  <si>
    <t xml:space="preserve">several peaks of high efficiency with a random behavior are evidences, by what it indicates that these peaks located in the area of efficiency energy not are result of improvements in the energy management system of the company.</t>
  </si>
  <si>
    <t xml:space="preserve">MEC-048</t>
  </si>
  <si>
    <t xml:space="preserve">rayyan-472535680</t>
  </si>
  <si>
    <t xml:space="preserve">Yao (2016)</t>
  </si>
  <si>
    <t xml:space="preserve">the energy baseline model is no longer suitable for estimating the current state of EnPI; the model needs to be rebuilt according to the current data.</t>
  </si>
  <si>
    <t xml:space="preserve">MEC-050</t>
  </si>
  <si>
    <t xml:space="preserve">if the adjusted decision coefficient is greater than the threshold, it is considered that the model fitting is good; otherwise it is considered that the model fitting is poor; the model structure or impact factors need to be reselected.</t>
  </si>
  <si>
    <t xml:space="preserve">MEC-049</t>
  </si>
  <si>
    <t xml:space="preserve">Since the cracked gas compression unit is working near the set point, it presents linear relationship between EnPI and impact factors</t>
  </si>
  <si>
    <t xml:space="preserve">MEC-053</t>
  </si>
  <si>
    <t xml:space="preserve">rayyan-472535748</t>
  </si>
  <si>
    <t xml:space="preserve">Tarasovskii (2014)</t>
  </si>
  <si>
    <t xml:space="preserve">The actual unit composition of electric power can vary quite broadly (Fig. 2).</t>
  </si>
  <si>
    <t xml:space="preserve">MEC-051</t>
  </si>
  <si>
    <t xml:space="preserve">existing equipment undergoes wear or is operated outside of its design regimes due to a change in production plans, i.e., the energy-efficiency indices decline</t>
  </si>
  <si>
    <t xml:space="preserve">MEC-052</t>
  </si>
  <si>
    <t xml:space="preserve">MEC-054</t>
  </si>
  <si>
    <t xml:space="preserve">Even programs in the second group, which calculate norms solely on the basis of a one-factor statistical model – the volume of production – are adequate for simple equipment.</t>
  </si>
  <si>
    <t xml:space="preserve">MEC-055</t>
  </si>
  <si>
    <t xml:space="preserve">rayyan-472535762</t>
  </si>
  <si>
    <t xml:space="preserve">Castrillón-Mendoza (2013)</t>
  </si>
  <si>
    <t xml:space="preserve">Siempre y cuando la relación entre las variables analizadas sea adecuada se considera esta ecuación como la Línea de Base Energética [4], [7-8].</t>
  </si>
  <si>
    <t xml:space="preserve">MEC-056</t>
  </si>
  <si>
    <t xml:space="preserve">Esta línea meta se traza considerando el mismo valor de la pendiente “m” de la línea base, puesto que se supone en el momento que no hay ningún cambio tecnológico sobre los equipos, áreas o procesos sobre los que se realiza el análisis [4], [7].</t>
  </si>
  <si>
    <t xml:space="preserve">MEC-057</t>
  </si>
  <si>
    <t xml:space="preserve">el Indicador de Consumo de referencia corresponde a una función inversa de la variable producción.</t>
  </si>
  <si>
    <t xml:space="preserve">MEC-058</t>
  </si>
  <si>
    <t xml:space="preserve">rayyan-472535787</t>
  </si>
  <si>
    <t xml:space="preserve">González (2012)</t>
  </si>
  <si>
    <t xml:space="preserve">This target line is drawn using the same value of the slope "m" of the baseline, since it is assumed, at this time, that there are no technological changes to the equipment, areas, or processes on which the analysis is performed.</t>
  </si>
  <si>
    <t xml:space="preserve">MEC-059</t>
  </si>
  <si>
    <t xml:space="preserve">K2 → M2</t>
  </si>
  <si>
    <t xml:space="preserve">The above equation represents a Base Consumption indicator, consisting of a constant term (m) and a term that is in function of the production variable ( P Enap ).</t>
  </si>
  <si>
    <t xml:space="preserve">MEC-060</t>
  </si>
  <si>
    <t xml:space="preserve">rayyan-472535794</t>
  </si>
  <si>
    <t xml:space="preserve">Giacone (2012)</t>
  </si>
  <si>
    <t xml:space="preserve">speciﬁc energy consumption depends on the production rate when, for example, there is a base energy consumption, whatever the utilisation of the production capacity;</t>
  </si>
  <si>
    <t xml:space="preserve">MEC-062</t>
  </si>
  <si>
    <t xml:space="preserve">a comparison between different installations using energy efﬁciency indicators can lead to misleading conclusions,</t>
  </si>
  <si>
    <t xml:space="preserve">MEC-070</t>
  </si>
  <si>
    <t xml:space="preserve">K11 → paper-level argument</t>
  </si>
  <si>
    <t xml:space="preserve">a production site may make various types of products, each with its own energy intensity factor;</t>
  </si>
  <si>
    <t xml:space="preserve">MEC-068</t>
  </si>
  <si>
    <t xml:space="preserve">Since it is essential that the mathematical model should refer to the most recent and stable period (reference period or setup period), the regression analysis should be complemented with other statistical process control tools.</t>
  </si>
  <si>
    <t xml:space="preserve">MEC-061</t>
  </si>
  <si>
    <t xml:space="preserve">which shows that the speciﬁc energy consumption has no meaning in absolute terms, because it is inversely proportional to the variable consumption ratio k.</t>
  </si>
  <si>
    <t xml:space="preserve">MEC-069</t>
  </si>
  <si>
    <t xml:space="preserve">thermal efﬁciency (2) is not a suitable indicator for processes inwhich the output has a negligible energy content, for example conveying or assembling, as Eout would approach zero.</t>
  </si>
  <si>
    <t xml:space="preserve">MEC-065</t>
  </si>
  <si>
    <t xml:space="preserve">the SEC would rise to 1.66 MWh/t (þ13%) and the thermal efﬁciency would drop to 37%, only because of the greater inﬂuence of the base energy consumption at a lower pull rate (k ¼ 0.66).</t>
  </si>
  <si>
    <t xml:space="preserve">MEC-063</t>
  </si>
  <si>
    <t xml:space="preserve">K4 → A2</t>
  </si>
  <si>
    <t xml:space="preserve">A literature analysis has revealed a lack of information on some important factors that can affect energy efﬁciency, such as the boundary of the melting process and the actual production rate.</t>
  </si>
  <si>
    <t xml:space="preserve">MEC-064</t>
  </si>
  <si>
    <t xml:space="preserve">K5 → A2</t>
  </si>
  <si>
    <t xml:space="preserve">because SEC is affected by many factors and each installation has its own distinctive features.</t>
  </si>
  <si>
    <t xml:space="preserve">MEC-066</t>
  </si>
  <si>
    <t xml:space="preserve">K7 → M4</t>
  </si>
  <si>
    <t xml:space="preserve">This nonlinear energy characteristic seems to be in contrast with the linear relationship obtained using monthly data. This is due to the averaging property that the monthly data show with respect to the weekly, daily data, etc.</t>
  </si>
  <si>
    <t xml:space="preserve">MEC-067</t>
  </si>
  <si>
    <t xml:space="preserve">K8 → M4</t>
  </si>
  <si>
    <t xml:space="preserve">the marginal efﬁciency does change depending on the melting practice, such as in sequential melting.</t>
  </si>
  <si>
    <t xml:space="preserve">MEC-071</t>
  </si>
  <si>
    <t xml:space="preserve">rayyan-472535797</t>
  </si>
  <si>
    <t xml:space="preserve">Ottermann (2011)</t>
  </si>
  <si>
    <t xml:space="preserve">Thus they are not a good indication of the electrical efficiency of a specific mill or kiln.</t>
  </si>
  <si>
    <t xml:space="preserve">MEC-072</t>
  </si>
  <si>
    <t xml:space="preserve">rayyan-472536226</t>
  </si>
  <si>
    <t xml:space="preserve">El-Maghraby (2024)</t>
  </si>
  <si>
    <t xml:space="preserve">data sets were cleaned and validated by excluding abnormal values that were outside the Safe Operating Envelope (SOE).</t>
  </si>
  <si>
    <t xml:space="preserve">efeito other: Model built and bounded to the Safe Operating Envelope (SOE) ranges; data outside the SOE were excluded</t>
  </si>
  <si>
    <t xml:space="preserve">MEC-073</t>
  </si>
  <si>
    <t xml:space="preserve">rayyan-472536358</t>
  </si>
  <si>
    <t xml:space="preserve">Bassetti (2025)</t>
  </si>
  <si>
    <t xml:space="preserve">K1 → M3</t>
  </si>
  <si>
    <t xml:space="preserve">Therefore, the model cannot be considered very accurate for small productions (&lt; 200 MNm3) despite all the sites analyzed are included inside the upper and lower curves.</t>
  </si>
  <si>
    <t xml:space="preserve">MEC-074</t>
  </si>
  <si>
    <t xml:space="preserve">However, the lower curve presents negative asymptotic behavior, in the very beginning.</t>
  </si>
  <si>
    <t xml:space="preserve">MEC-076</t>
  </si>
  <si>
    <t xml:space="preserve">K4 → M3</t>
  </si>
  <si>
    <t xml:space="preserve">The production of gas is very variable in terms of total production (from 10⋅106 to 1000⋅106 Nm3/year) and composition of products (that is heterogeneous reported on the energy audits).</t>
  </si>
  <si>
    <t xml:space="preserve">MEC-075</t>
  </si>
  <si>
    <t xml:space="preserve">K3 → A1</t>
  </si>
  <si>
    <t xml:space="preserve">This result is aligned with literature data (for liquid higher energy consumption [17]) and it is mainly due to the energy consumption of recompression steps after distillation process.</t>
  </si>
  <si>
    <t xml:space="preserve">MEC-077</t>
  </si>
  <si>
    <t xml:space="preserve">K5 → M3</t>
  </si>
  <si>
    <t xml:space="preserve">First, the statistics of 2018 present a higher standard deviation on the Real EnPI (52% vs. 38%), but regression model presents a higher correlation (R2=0.873 vs. 0.736) compared to 2022 data. Hence, it is necessary to improve the comparability of data.</t>
  </si>
  <si>
    <t xml:space="preserve">efeito other: temporal comparability of the model between audit cycles is limited</t>
  </si>
  <si>
    <t xml:space="preserve">MEC-078</t>
  </si>
  <si>
    <t xml:space="preserve">rayyan-472536379</t>
  </si>
  <si>
    <t xml:space="preserve">nevertheless there are other parameters (such as the temperature, the humidity, the dirtiness of air, the state of the pipelines, the configuration of the network, ...and many other conditions related to the manufacturing process) which heavily affect the energy and volume computation.</t>
  </si>
  <si>
    <t xml:space="preserve">MEC-079</t>
  </si>
  <si>
    <t xml:space="preserve">more improvements are expected by a better fine-tuning: for instance, selecting more locationspecific data, with higher temporal granularity (a week, a month, every change in the batch process, ...) and a more dedicated data gathering on the production itself (sub-process level) are likely to guarantee the setup and use of a robust and rigorous procedure, with higher and higher converging results.</t>
  </si>
  <si>
    <t xml:space="preserve">efeito other: coarse temporal/spatial data granularity limits the model's predictive robustness and accuracy</t>
  </si>
  <si>
    <t xml:space="preserve">MEC-080</t>
  </si>
  <si>
    <t xml:space="preserve">rayyan-472536410</t>
  </si>
  <si>
    <t xml:space="preserve">Le-Anh (2023)</t>
  </si>
  <si>
    <t xml:space="preserve">Energy consumption of papermaking processes may vary by different pulps and different products and requires normalization.</t>
  </si>
  <si>
    <t xml:space="preserve">MEC-081</t>
  </si>
  <si>
    <t xml:space="preserve">As the product quality has not been compared, the lower SEC of group 1 is explained as the simpler process with fewer stages in the stock preparation section, which has been observed during the preliminary audits at the sample factories.</t>
  </si>
  <si>
    <t xml:space="preserve">MEC-082</t>
  </si>
  <si>
    <t xml:space="preserve">Therefore, the discrimination in energy consumption of DIP and non-DIP processes among the factories in Vietnam cannot be considered.</t>
  </si>
  <si>
    <t xml:space="preserve">MEC-083</t>
  </si>
  <si>
    <t xml:space="preserve">It has been noted that only group 2 of this subsector with 04 sets of data could be used for benchmarking exercise (Table 7).</t>
  </si>
  <si>
    <t xml:space="preserve">MEC-084</t>
  </si>
  <si>
    <t xml:space="preserve">rayyan-472536428</t>
  </si>
  <si>
    <t xml:space="preserve">Çaǧman (2022)</t>
  </si>
  <si>
    <t xml:space="preserve">K1 → M5</t>
  </si>
  <si>
    <t xml:space="preserve">The relationship between the flow rate and dB data of air leakage is related to different parameters like operational pressure, temperature, environmental conditions, hole/crack geometry, distance/angle be tween the measurement device and the hole, nozzle geometry of the measurement device’s probe.</t>
  </si>
  <si>
    <t xml:space="preserve">causa other: dependence on operational pressure, temperature, environmental conditions, hole/crack geometry, distance/angle and probe nozzle geometry</t>
  </si>
  <si>
    <t xml:space="preserve">MEC-085</t>
  </si>
  <si>
    <t xml:space="preserve">we cannot measure the diameter of the hole in audits because mostly the diameter of the hole is fractional, not smooth for measuring or located at a high level that it cannot be reached.</t>
  </si>
  <si>
    <t xml:space="preserve">causa other: hole diameter is fractional, unsmooth or physically inaccessible during audits</t>
  </si>
  <si>
    <t xml:space="preserve">MEC-089</t>
  </si>
  <si>
    <t xml:space="preserve">rayyan-472536455</t>
  </si>
  <si>
    <t xml:space="preserve">Bruni (2021)</t>
  </si>
  <si>
    <t xml:space="preserve">despite several production processes being not linear</t>
  </si>
  <si>
    <t xml:space="preserve">causa other: non-linear production processes fitted with linear models</t>
  </si>
  <si>
    <t xml:space="preserve">MEC-086</t>
  </si>
  <si>
    <t xml:space="preserve">since EnPIs depend on several parameters, such as plant size, operating parameters, energy carriers used, production process, age of machines and equipment, location and environmental conditions, and business conditions, their determination at the NACE level can have some issue.</t>
  </si>
  <si>
    <t xml:space="preserve">causa other: plant size, operating parameters, energy carriers used, age of machines, location, and business conditions</t>
  </si>
  <si>
    <t xml:space="preserve">MEC-087</t>
  </si>
  <si>
    <t xml:space="preserve">In some companies, energy consumption may not have a clear link with production, or some companies do not have a physical production (e.g., service companies);</t>
  </si>
  <si>
    <t xml:space="preserve">MEC-088</t>
  </si>
  <si>
    <t xml:space="preserve">Variables analysed with these models must not directly include economic variables (such as added value, turnover, etc.), which often have no direct relationship with the physical production processes in manufacturing [26].</t>
  </si>
  <si>
    <t xml:space="preserve">causa other: economic variables (added value, turnover) with no direct relationship to physical production</t>
  </si>
  <si>
    <t xml:space="preserve">MEC-090</t>
  </si>
  <si>
    <t xml:space="preserve">The correlation coefﬁcient can be very sensitive to “outliers” and may indicate association when, in fact, none exists.</t>
  </si>
  <si>
    <t xml:space="preserve">causa other: outliers / anomalous items</t>
  </si>
  <si>
    <t xml:space="preserve">MEC-091</t>
  </si>
  <si>
    <t xml:space="preserve">K6 → paper-level argument</t>
  </si>
  <si>
    <t xml:space="preserve">A low value certainly indicates an insigniﬁcant relationship between consumption and production (often due to the presence of economic factors).</t>
  </si>
  <si>
    <t xml:space="preserve">causa other: presence of economic factors</t>
  </si>
  <si>
    <t xml:space="preserve">MEC-092</t>
  </si>
  <si>
    <t xml:space="preserve">K7 → A1</t>
  </si>
  <si>
    <t xml:space="preserve">one site was dismissed because of non-continuous production</t>
  </si>
  <si>
    <t xml:space="preserve">MEC-095</t>
  </si>
  <si>
    <t xml:space="preserve">rayyan-472536486</t>
  </si>
  <si>
    <t xml:space="preserve">Scripcariu (2021)</t>
  </si>
  <si>
    <t xml:space="preserve">K3 → M3</t>
  </si>
  <si>
    <t xml:space="preserve">the cement industry end-user’s electricity use is highly influenced by the demand of the construction industry, which is significantly lower in the cold seasons.</t>
  </si>
  <si>
    <t xml:space="preserve">causa other: seasonal construction-industry demand</t>
  </si>
  <si>
    <t xml:space="preserve">MEC-093</t>
  </si>
  <si>
    <t xml:space="preserve">The EI of the company reached a value of 0.48 t.o.e. per thousand EUR because of the extreme drop in the price of the production (from an average price of 2,108 EUR/ton in 2018 to 1,660 EUR/ton in 2020).</t>
  </si>
  <si>
    <t xml:space="preserve">causa other: extreme drop in the price of the production</t>
  </si>
  <si>
    <t xml:space="preserve">MEC-094</t>
  </si>
  <si>
    <t xml:space="preserve">the SA mechanism only applies for electricity use. While the aluminium industry end-user predominantly uses electricity in its technological processes, the cement industry end-user has a much higher share of fossil fuels compared to electricity.</t>
  </si>
  <si>
    <t xml:space="preserve">causa other: much higher share of fossil fuels compared to electricity; electricity-only indicator does not capture the dominant fossil-fuel energy</t>
  </si>
  <si>
    <t xml:space="preserve">MEC-097</t>
  </si>
  <si>
    <t xml:space="preserve">rayyan-472536487</t>
  </si>
  <si>
    <t xml:space="preserve">Luknongbu (2021)</t>
  </si>
  <si>
    <t xml:space="preserve">The other factory that produced handmade glass containers has an entirely different energy usage pattern from the other plants.</t>
  </si>
  <si>
    <t xml:space="preserve">MEC-096</t>
  </si>
  <si>
    <t xml:space="preserve">However, the amount of energy consumption tends to change over times. BEC and SEC baseline should also be adjusted accordingly.</t>
  </si>
  <si>
    <t xml:space="preserve">MEC-099</t>
  </si>
  <si>
    <t xml:space="preserve">rayyan-472536501</t>
  </si>
  <si>
    <t xml:space="preserve">Guo (2020)</t>
  </si>
  <si>
    <t xml:space="preserve">primarily because energy input comprises fossil and nonfossil energy; however, the model cannot distinguish between the two energy sources.</t>
  </si>
  <si>
    <t xml:space="preserve">efeito other: EPI model aggregates energy and cannot distinguish fossil from non-fossil energy sources, distorting the efficiency ranking</t>
  </si>
  <si>
    <t xml:space="preserve">MEC-098</t>
  </si>
  <si>
    <t xml:space="preserve">Figs. 4e6 show that many calculated values of CCR model are close to 1, so it is difﬁcult to rank by radar charts intuitively.</t>
  </si>
  <si>
    <t xml:space="preserve">efeito other: CCR/DEA efficiency scores cluster near 1, so the model cannot discriminate and rank DMUs</t>
  </si>
  <si>
    <t xml:space="preserve">MEC-100</t>
  </si>
  <si>
    <t xml:space="preserve">rayyan-472536518</t>
  </si>
  <si>
    <t xml:space="preserve">Maggiore (2020)</t>
  </si>
  <si>
    <t xml:space="preserve">this leads to different results when trying to analyse records received from different countries (e.g. savings reported either in final or primary energy, different references for baseline, different ways of evaluating technical life of the installed equipment);</t>
  </si>
  <si>
    <t xml:space="preserve">MEC-101</t>
  </si>
  <si>
    <t xml:space="preserve">There are different quality levels of the reported savings: while in some countries sav ings will be measured and periodically reported with strict verification procedures (e.g. in Italy), in others deemed savings are considered enough, so leading to unreliable results and also in the view of 2030 targets achievement;</t>
  </si>
  <si>
    <t xml:space="preserve">MEC-102</t>
  </si>
  <si>
    <t xml:space="preserve">rayyan-472536532</t>
  </si>
  <si>
    <t xml:space="preserve">Beisheim (2019)</t>
  </si>
  <si>
    <t xml:space="preserve">Such models only represent the data that has been used to parameterize them, so extrapolation usually is not possible and their accuracy depends on the density, accuracy and reproducibility of the available data.</t>
  </si>
  <si>
    <t xml:space="preserve">MEC-104</t>
  </si>
  <si>
    <t xml:space="preserve">MEC-108</t>
  </si>
  <si>
    <t xml:space="preserve">In many cases, the use of linear regression models is insuﬃcient since the performance curves of the process data clearly indicate nonlinear behavior.</t>
  </si>
  <si>
    <t xml:space="preserve">não localizada automaticamente</t>
  </si>
  <si>
    <t xml:space="preserve">MEC-105</t>
  </si>
  <si>
    <t xml:space="preserve">Data prior to modiﬁcations may not be suitable for the model identiﬁcation of the current BDP, but contrariwise a signiﬁcant time period is necessary to collect suﬃcient process data to identify a reliable and accurate BDP model.</t>
  </si>
  <si>
    <t xml:space="preserve">MEC-106</t>
  </si>
  <si>
    <t xml:space="preserve">MEC-107</t>
  </si>
  <si>
    <t xml:space="preserve">For continuous processes, the analysis is based upon the assumption that the process is stationary, unless storage terms are taken into account in the computation of the indicators.</t>
  </si>
  <si>
    <t xml:space="preserve">MEC-103</t>
  </si>
  <si>
    <t xml:space="preserve">Within these bounds the model is applicable for comparison with process data whereas outside the limits the results have to be handled with care due to the lacking extrapolation capabilities of the BDP model.</t>
  </si>
  <si>
    <t xml:space="preserve">MEC-109</t>
  </si>
  <si>
    <t xml:space="preserve">rayyan-472536551</t>
  </si>
  <si>
    <t xml:space="preserve">Hashim (2019)</t>
  </si>
  <si>
    <t xml:space="preserve">Although such tool does not directly measure an actual and reflect an as-is operational data of the companies’ energy performance, it tracks the achievements in the key work processes or the implementation status of an Energy Management Systems (EnMS).</t>
  </si>
  <si>
    <t xml:space="preserve">efeito other: the indicator does not directly measure actual/as-is energy performance; it is a proxy for EnMS implementation status</t>
  </si>
  <si>
    <t xml:space="preserve">MEC-110</t>
  </si>
  <si>
    <t xml:space="preserve">In addition, dedicated computer programming models can be developed if applicable to minimise the subjectivity of the outcome and for document control purposes.</t>
  </si>
  <si>
    <t xml:space="preserve">efeito other: subjectivity of the self-assessment outcome underlying the indicator score</t>
  </si>
  <si>
    <t xml:space="preserve">MEC-117</t>
  </si>
  <si>
    <t xml:space="preserve">rayyan-472536606</t>
  </si>
  <si>
    <t xml:space="preserve">Boyd (2017)</t>
  </si>
  <si>
    <t xml:space="preserve">there are many challenges with creating efficiency measures based on price indexes, cost, and other value measurements.</t>
  </si>
  <si>
    <t xml:space="preserve">MEC-118</t>
  </si>
  <si>
    <t xml:space="preserve">K8 → M1</t>
  </si>
  <si>
    <t xml:space="preserve">the energy use of the plant will depend on the level and mix of products produced.</t>
  </si>
  <si>
    <t xml:space="preserve">MEC-112</t>
  </si>
  <si>
    <t xml:space="preserve">For cement plants, the hardness and moisture content of the limestone is hypothesized to influence energy use, but no consistent data is available for this, leaving it the subject of future analysis if data can be collected.</t>
  </si>
  <si>
    <t xml:space="preserve">MEC-113</t>
  </si>
  <si>
    <t xml:space="preserve">when the HVAC component of energy use is small relative to total plant consumption, the statistical approach may not be able to measure the effect accurately enough to meet tests for reliability.</t>
  </si>
  <si>
    <t xml:space="preserve">MEC-111</t>
  </si>
  <si>
    <t xml:space="preserve">These are admittedly strong assumptions.</t>
  </si>
  <si>
    <t xml:space="preserve">MEC-116</t>
  </si>
  <si>
    <t xml:space="preserve">some data is dropped due to missing variables from incomplete reporting or other data quality screens such as for extreme outliers.</t>
  </si>
  <si>
    <t xml:space="preserve">MEC-114</t>
  </si>
  <si>
    <t xml:space="preserve">the study for pulp mills measures the efficiency of net purchased energy and pulp mills provide a large amount of internally generated power from black liquor and CHP.</t>
  </si>
  <si>
    <t xml:space="preserve">causa other: large internally generated power from black liquor and CHP, so only net purchased energy is measured</t>
  </si>
  <si>
    <t xml:space="preserve">MEC-115</t>
  </si>
  <si>
    <t xml:space="preserve">recognizing that the variance of simple energy intensity would overstate the range of efficiency.</t>
  </si>
  <si>
    <t xml:space="preserve">MEC-119</t>
  </si>
  <si>
    <t xml:space="preserve">rayyan-472536612</t>
  </si>
  <si>
    <t xml:space="preserve">Bonfà (2017)</t>
  </si>
  <si>
    <t xml:space="preserve">The already possessed data have been resulted unreliable because of some non-negligible approximations. First of all, it is impossible to know their veracity; in many cases the consumption data come from estimates made on productions of hours or even relying on electric bills.</t>
  </si>
  <si>
    <t xml:space="preserve">MEC-120</t>
  </si>
  <si>
    <t xml:space="preserve">Also, more importantly, it was not possible to use a common standard to develop a reliable benchmark methodology.</t>
  </si>
  <si>
    <t xml:space="preserve">MEC-124</t>
  </si>
  <si>
    <t xml:space="preserve">K6 → M2</t>
  </si>
  <si>
    <t xml:space="preserve">The two KPIs used cannot outline an overview of the situation about the efficiency of the compressed air generation system because of the great difference of the production volumes between the various sectors</t>
  </si>
  <si>
    <t xml:space="preserve">MEC-121</t>
  </si>
  <si>
    <t xml:space="preserve">By comparing the energy consumption in kWhe CAS/m3 it is assumed that the working conditions do not vary significantly between all the enterprises, hence restricting the applications of this approach (Longo et al. (2016)).</t>
  </si>
  <si>
    <t xml:space="preserve">MEC-122</t>
  </si>
  <si>
    <t xml:space="preserve">K4 → M4</t>
  </si>
  <si>
    <t xml:space="preserve">to have a relation between the electric consumption and the air production it is assumed that it is possible to scale linearly inputs and outputs, i.e. it is assumed constant return to scale.</t>
  </si>
  <si>
    <t xml:space="preserve">MEC-123</t>
  </si>
  <si>
    <t xml:space="preserve">If only the measured data have been considered, for some sectors, the regression loses its significance.</t>
  </si>
  <si>
    <t xml:space="preserve">MEC-125</t>
  </si>
  <si>
    <t xml:space="preserve">the firms which have not measured the compressed air production might have estimated their data starting from some assumption coming from literature; that kind of data would falsify the analysis.</t>
  </si>
  <si>
    <t xml:space="preserve">MEC-126</t>
  </si>
  <si>
    <t xml:space="preserve">Even if the data are derived from direct measurements not all companies are equipped with the necessary tools and there is not a unique procedure that can determine the power consumption for the compressor park.</t>
  </si>
  <si>
    <t xml:space="preserve">MEC-130</t>
  </si>
  <si>
    <t xml:space="preserve">rayyan-472536644</t>
  </si>
  <si>
    <t xml:space="preserve">Boyd (2016)</t>
  </si>
  <si>
    <t xml:space="preserve">linear regression estimates of the parameters rely on the proposition that any departures in the plant data from Eq. 1, which cannot be directly observed, are randomly distributed within the population.</t>
  </si>
  <si>
    <t xml:space="preserve">MEC-128</t>
  </si>
  <si>
    <t xml:space="preserve">for some plants, oxygen was hard to track or record and there were many gaps in the data, especially in the earlier years of the dataset.</t>
  </si>
  <si>
    <t xml:space="preserve">MEC-129</t>
  </si>
  <si>
    <t xml:space="preserve">Scrap is not an essential material in steel production although it is commonly used but is sometimes difficult to track in internal production statistics.</t>
  </si>
  <si>
    <t xml:space="preserve">MEC-131</t>
  </si>
  <si>
    <t xml:space="preserve">K5 → M1</t>
  </si>
  <si>
    <t xml:space="preserve">These estimates capture the fact that when production drops as it does during an economic recession, energy output ratios will rise.</t>
  </si>
  <si>
    <t xml:space="preserve">MEC-127</t>
  </si>
  <si>
    <t xml:space="preserve">The analysis clearly demonstrates that energy per ton of steel is an inadequate measure of energy efficiency and that plant specific factors have a large impact on energy use that should not be misconstrued as inefficiency.</t>
  </si>
  <si>
    <t xml:space="preserve">MEC-132</t>
  </si>
  <si>
    <t xml:space="preserve">rayyan-472536693</t>
  </si>
  <si>
    <t xml:space="preserve">Sivill (2013)</t>
  </si>
  <si>
    <t xml:space="preserve">such as the issue of how to correct the effect of the operation rate on speciﬁc energy consumption.</t>
  </si>
  <si>
    <t xml:space="preserve">causa other: operation rate</t>
  </si>
  <si>
    <t xml:space="preserve">MEC-136</t>
  </si>
  <si>
    <t xml:space="preserve">External benchmarks, although subject to commensurability issues, were available and used in certain industries.</t>
  </si>
  <si>
    <t xml:space="preserve">MEC-137</t>
  </si>
  <si>
    <t xml:space="preserve">sim, era 10</t>
  </si>
  <si>
    <t xml:space="preserve">indicators often lose their variance over time.</t>
  </si>
  <si>
    <t xml:space="preserve">MEC-138</t>
  </si>
  <si>
    <t xml:space="preserve">K7 → M1</t>
  </si>
  <si>
    <t xml:space="preserve">These indicators are typically not corrected in reporting with respect to any explanatory factors.</t>
  </si>
  <si>
    <t xml:space="preserve">MEC-133</t>
  </si>
  <si>
    <t xml:space="preserve">‘The biggest challenge is the availability of instrumentation. We have an old facility where there is no extra instrumentation and adding it is expensive and rarely possible’.</t>
  </si>
  <si>
    <t xml:space="preserve">MEC-134</t>
  </si>
  <si>
    <t xml:space="preserve">‘If you have more than one piece of equipment connected to a transformer, then how do you divide the current?</t>
  </si>
  <si>
    <t xml:space="preserve">efeito other: allocation of measured energy (current) across multiple equipment on one transformer</t>
  </si>
  <si>
    <t xml:space="preserve">MEC-135</t>
  </si>
  <si>
    <t xml:space="preserve">‘Explanatory factors and understanding them continues to be a major issue that requires further work’.</t>
  </si>
  <si>
    <t xml:space="preserve">efeito other: explanatory factors for the indicator not identified or understood</t>
  </si>
  <si>
    <t xml:space="preserve">MEC-141</t>
  </si>
  <si>
    <t xml:space="preserve">rayyan-472536694</t>
  </si>
  <si>
    <t xml:space="preserve">Boyd (2013)</t>
  </si>
  <si>
    <t xml:space="preserve">If the industry improves over time, then the benchmark is not representative of current industry performance, requiring periodic updates</t>
  </si>
  <si>
    <t xml:space="preserve">causa other: improvement in industry energy performance over time</t>
  </si>
  <si>
    <t xml:space="preserve">MEC-142</t>
  </si>
  <si>
    <t xml:space="preserve">A small number of data points were dropped because of missing values and an erroneous plant result.</t>
  </si>
  <si>
    <t xml:space="preserve">MEC-139</t>
  </si>
  <si>
    <t xml:space="preserve">When the error variance is not constant, the error term is called heteroscedastic.</t>
  </si>
  <si>
    <t xml:space="preserve">MEC-140</t>
  </si>
  <si>
    <t xml:space="preserve">It was also observed that the range of performance, represented by the residuals from the above regression, was wider for small plants and narrower for large ones.</t>
  </si>
  <si>
    <t xml:space="preserve">causa other: differences between large and small capacity plants (error variance a function of plant capacity)</t>
  </si>
  <si>
    <t xml:space="preserve">MEC-143</t>
  </si>
  <si>
    <t xml:space="preserve">It is also possible for plants to ship clinker for grinding elsewhere or grind cement from clinker produced at another plant.</t>
  </si>
  <si>
    <t xml:space="preserve">MEC-144</t>
  </si>
  <si>
    <t xml:space="preserve">Specialty cements can take additional energy to produce.</t>
  </si>
  <si>
    <t xml:space="preserve">efeito other: product-type (specialty cement) differences in energy use bias the benchmark unless adjusted for</t>
  </si>
  <si>
    <t xml:space="preserve">MEC-145</t>
  </si>
  <si>
    <t xml:space="preserve">rayyan-472536695</t>
  </si>
  <si>
    <t xml:space="preserve">Velázquez (2013)</t>
  </si>
  <si>
    <t xml:space="preserve">clearly showing that a constant baseline does not account for the actual values of KIV, and highlighting the importance of adjusting the baseline to current operating conditions to accurately calculate energy savings.</t>
  </si>
  <si>
    <t xml:space="preserve">Mecanismos do artigo</t>
  </si>
  <si>
    <t xml:space="preserve">Adaptação</t>
  </si>
  <si>
    <t xml:space="preserve">Estado</t>
  </si>
  <si>
    <t xml:space="preserve">Enquadramento normativo</t>
  </si>
  <si>
    <t xml:space="preserve">Liga a mecanismo (K-id)</t>
  </si>
  <si>
    <t xml:space="preserve">orig_Adaptação</t>
  </si>
  <si>
    <t xml:space="preserve">orig_Estado</t>
  </si>
  <si>
    <t xml:space="preserve">orig_Enquadramento normativo</t>
  </si>
  <si>
    <t xml:space="preserve">orig_Liga a mecanismo (K-id)</t>
  </si>
  <si>
    <t xml:space="preserve">ADP-001</t>
  </si>
  <si>
    <t xml:space="preserve">D1 → M1</t>
  </si>
  <si>
    <t xml:space="preserve">Emissions of CO2, CO, SO2 and NO per unit of energy generated: It is the proposed relative measure of atmospheric pollutant emissions per unit of energy generated, which most accurately shows the variation in the SEA.</t>
  </si>
  <si>
    <t xml:space="preserve">K1 (other); K2 (other); K3 (other); K4 (indicator not meaningful as defined)</t>
  </si>
  <si>
    <t xml:space="preserve">K4</t>
  </si>
  <si>
    <t xml:space="preserve">ADP-003</t>
  </si>
  <si>
    <t xml:space="preserve">D2 → A1</t>
  </si>
  <si>
    <t xml:space="preserve">In the clustering part, the whole sample points were divided into the nominal working conditions clusters utilizing the k-means algorithm since the existing data contains similar status subgroups of the EDU's operation.</t>
  </si>
  <si>
    <t xml:space="preserve">K1 (data quality — missing, erroneous or discontinuous data); K2 (statistical misspecification)</t>
  </si>
  <si>
    <t xml:space="preserve">ADP-002</t>
  </si>
  <si>
    <t xml:space="preserve">Then, the outliers and out-of-range values were filtered out from the dataset using univariate and multivariate approaches for the remaining components.</t>
  </si>
  <si>
    <t xml:space="preserve">K1</t>
  </si>
  <si>
    <t xml:space="preserve">ADP-004</t>
  </si>
  <si>
    <t xml:space="preserve">D3 → A1</t>
  </si>
  <si>
    <t xml:space="preserve">As future work, other ML and optimization algorithms can be applied to quantify the energy saving potential instead of comparing the average energy consumption with the lowest energy usage of the operational modes of the unit.</t>
  </si>
  <si>
    <t xml:space="preserve">adaptation other: apply other ML and optimization algorithms to quantify energy-saving potential instead of comparing average with lowest energy usage</t>
  </si>
  <si>
    <t xml:space="preserve">ADP-005</t>
  </si>
  <si>
    <t xml:space="preserve">Variable outliers during shutdowns were discarded to take into account only regular operation.</t>
  </si>
  <si>
    <t xml:space="preserve">K1 (observability gap — quantity not measured)</t>
  </si>
  <si>
    <t xml:space="preserve">ADP-006</t>
  </si>
  <si>
    <t xml:space="preserve">D1 → paper-level argument</t>
  </si>
  <si>
    <t xml:space="preserve">Further, a potential tool is foreseen in the use of machine learning techniques which can better assess the various EnPIs, by using all the possible data that can link the complex production with its consumption.</t>
  </si>
  <si>
    <t xml:space="preserve">adaptation other: use of machine learning techniques to better assess the various EnPIs</t>
  </si>
  <si>
    <t xml:space="preserve">K1 (observability gap — quantity not measured); K2 (data quality — missing, erroneous or discontinuous data)</t>
  </si>
  <si>
    <t xml:space="preserve">ADP-007</t>
  </si>
  <si>
    <t xml:space="preserve">D2 → paper-level argument</t>
  </si>
  <si>
    <t xml:space="preserve">This model i.e. Fig. 5 can be matured with the continuous monitoring and update of data from different case studies.</t>
  </si>
  <si>
    <t xml:space="preserve">ADP-009</t>
  </si>
  <si>
    <t xml:space="preserve">D2 → M2</t>
  </si>
  <si>
    <t xml:space="preserve">At the reference mill a number of explanatory indicators that affect the descriptive indicators of the chemical recovery system (i.e., the EnPIs with purple background color in Fig. 2) have been defined (Fig. 4).</t>
  </si>
  <si>
    <t xml:space="preserve">K1 (non-stationarity of the relationship); K2 (cross-site comparability); K3 (non-stationarity of the relationship); K4 (non-stationarity of the relationship); K5 (indicator not meaningful as defined)</t>
  </si>
  <si>
    <t xml:space="preserve">K5</t>
  </si>
  <si>
    <t xml:space="preserve">ADP-008</t>
  </si>
  <si>
    <t xml:space="preserve">K3</t>
  </si>
  <si>
    <t xml:space="preserve">ADP-010</t>
  </si>
  <si>
    <t xml:space="preserve">D3 → M1</t>
  </si>
  <si>
    <t xml:space="preserve">Preferably, it should be on an hourly basis, as changes in production are sometimes short (i.e. daily energy data will sometimes not be sufficient).</t>
  </si>
  <si>
    <t xml:space="preserve">ADP-011</t>
  </si>
  <si>
    <t xml:space="preserve">an aggregation method is proposed to exploit the analysis of the factors on lower hierarchical layers for the evaluation of the performance of an aggregated domain.</t>
  </si>
  <si>
    <t xml:space="preserve">adaptation other: hierarchical bottom-up aggregation of process-level energy performance indicators and baselines to site/company level</t>
  </si>
  <si>
    <t xml:space="preserve">K1 (cross-site comparability); K2 (multi-product allocation); K3 (observability gap — quantity not measured); K4 (non-stationarity of the relationship); K5 (non-stationarity of the relationship); K6 (multi-product allocation)</t>
  </si>
  <si>
    <t xml:space="preserve">ADP-013</t>
  </si>
  <si>
    <t xml:space="preserve">The concept is compatible with the usage of different types of baseline models, e.g. linear regression or artificial neural networks, in one system</t>
  </si>
  <si>
    <t xml:space="preserve">adaptation other: use of different baseline model types (linear regression or artificial neural networks) within one aggregation system</t>
  </si>
  <si>
    <t xml:space="preserve">ADP-012</t>
  </si>
  <si>
    <t xml:space="preserve">D2 → M1</t>
  </si>
  <si>
    <t xml:space="preserve">splitting the performance of the plants and of the site into contributions of influenceable and non-influenceable factors.</t>
  </si>
  <si>
    <t xml:space="preserve">ADP-014</t>
  </si>
  <si>
    <t xml:space="preserve">D1 → M6</t>
  </si>
  <si>
    <t xml:space="preserve">Baseline determination by using single regression will be updated using other influential variables so that the use of multiple regression for new baselines will be considered.</t>
  </si>
  <si>
    <t xml:space="preserve">K1 (non-stationarity of the relationship); K2 (baseload or non-productive energy); K3 (baseload or non-productive energy); K4 (indicator not meaningful as defined)</t>
  </si>
  <si>
    <t xml:space="preserve">ADP-017</t>
  </si>
  <si>
    <t xml:space="preserve">when the relative errors are taken into account, performance of ANN models appears fairly superior compared to the MLR model.</t>
  </si>
  <si>
    <t xml:space="preserve">adaptation other: comparison of ANN against MLR as alternative baseline models</t>
  </si>
  <si>
    <t xml:space="preserve">K1 (indicator not meaningful as defined); K2 (baseload or non-productive energy); K3 (statistical misspecification); K4 (statistical misspecification); K5 (observability gap — quantity not measured); K6 (observability gap — quantity not measured); K7 (data quality — missing, erroneous or discontinuous data); K8 (data quality — missing, erroneous or discontinuous data); K9 (statistical misspecification); K10 (non-stationarity of the relationship)</t>
  </si>
  <si>
    <t xml:space="preserve">ADP-015</t>
  </si>
  <si>
    <t xml:space="preserve">D1 → A1</t>
  </si>
  <si>
    <t xml:space="preserve">after brainstorm with the LDPE engineers (EnPI Tool Instruction Guide, 2011), 8 factors were selected as independent variables (inputs)</t>
  </si>
  <si>
    <t xml:space="preserve">ADP-016</t>
  </si>
  <si>
    <t xml:space="preserve">K8</t>
  </si>
  <si>
    <t xml:space="preserve">ADP-018</t>
  </si>
  <si>
    <t xml:space="preserve">D4 → A1</t>
  </si>
  <si>
    <t xml:space="preserve">the PCDA cycle (Plan-Do-Check-Act) should be repeated to ﬁnd the best performance and continuously upgrade the baseline.</t>
  </si>
  <si>
    <t xml:space="preserve">ADP-019</t>
  </si>
  <si>
    <t xml:space="preserve">D5 → A1</t>
  </si>
  <si>
    <t xml:space="preserve">the model could also become completed applying more advanced ANNs such as recurrent neural networks.</t>
  </si>
  <si>
    <t xml:space="preserve">adaptation other: more advanced ANNs such as recurrent neural networks</t>
  </si>
  <si>
    <t xml:space="preserve">ADP-020</t>
  </si>
  <si>
    <t xml:space="preserve">filtering of data was carried out in order to establish a more stable correlation; with the purpose of not losing functionality between production and energy when it comes to energy indicators analysis, selecting as final criteria 2 standard deviation.</t>
  </si>
  <si>
    <t xml:space="preserve">K1 (non-stationarity of the relationship); K2 (other)</t>
  </si>
  <si>
    <t xml:space="preserve">ADP-023</t>
  </si>
  <si>
    <t xml:space="preserve">Developing an effective budgeting system (step 7) ensures that the targets and budgets are adapted according to performance, resulting in continuous improvement and a target that is realistic, but still aims to reach the optimal performance.</t>
  </si>
  <si>
    <t xml:space="preserve">K1 (insufficient data length for the model); K2 (observability gap — quantity not measured)</t>
  </si>
  <si>
    <t xml:space="preserve">ADP-021</t>
  </si>
  <si>
    <t xml:space="preserve">tariff structures during the summer and winter months, the trend lines were generated separately for the two cases in the graphs.</t>
  </si>
  <si>
    <t xml:space="preserve">ADP-022</t>
  </si>
  <si>
    <t xml:space="preserve">K2</t>
  </si>
  <si>
    <t xml:space="preserve">ADP-024</t>
  </si>
  <si>
    <t xml:space="preserve">To adapt this strategy the critical meters required to continuously monitor coal consumption have to be installed.</t>
  </si>
  <si>
    <t xml:space="preserve">ADP-025</t>
  </si>
  <si>
    <t xml:space="preserve">this function creates calculation models which are fitted to them and manages finely with setting the detail targets.</t>
  </si>
  <si>
    <t xml:space="preserve">K1 (baseload or non-productive energy); K2 (indicator not meaningful as defined)</t>
  </si>
  <si>
    <t xml:space="preserve">ADP-026</t>
  </si>
  <si>
    <t xml:space="preserve">JEITA has been suggesting the indicators which can be shown</t>
  </si>
  <si>
    <t xml:space="preserve">adaptation other: indicators shown as 'result of efforts' (based on ISO 50006), replacing plain specific energy consumption</t>
  </si>
  <si>
    <t xml:space="preserve">ADP-028</t>
  </si>
  <si>
    <t xml:space="preserve">The energy relationship of the products αj, corresponds to the number of units of product base that can be elaborated with the energy used to produce a unit of product (j).</t>
  </si>
  <si>
    <t xml:space="preserve">K1 (data quality — missing, erroneous or discontinuous data); K2 (multi-product allocation); K3 (indicator not meaningful as defined)</t>
  </si>
  <si>
    <t xml:space="preserve">ADP-027</t>
  </si>
  <si>
    <t xml:space="preserve">these data considered as outliers will not be considered for the productive plant energy analysis</t>
  </si>
  <si>
    <t xml:space="preserve">ADP-029</t>
  </si>
  <si>
    <t xml:space="preserve">it is necessary to develop a Software for tracking, measurement, and analysis of the energy performance for each significant use of energy installed and set in operation</t>
  </si>
  <si>
    <t xml:space="preserve">adaptation other: Software for tracking, measurement, and analysis of the energy performance</t>
  </si>
  <si>
    <t xml:space="preserve">ADP-031</t>
  </si>
  <si>
    <t xml:space="preserve">Therefore, general function forms are proposed to approximate various nonlinear relationships. The EnPIs are the sum of nonlinear relationships of each impact factor, as shown in the following:</t>
  </si>
  <si>
    <t xml:space="preserve">adaptation other: B-spline approximation model where each EnPI is expressed as a sum of nonlinear functions of each impact factor, each approximated by a T-order B-spline function, for strongly nonlinear processes</t>
  </si>
  <si>
    <t xml:space="preserve">K1 (baseline drift or expiry); K2 (validity envelope exceeded); K3 (statistical misspecification)</t>
  </si>
  <si>
    <t xml:space="preserve">ADP-030</t>
  </si>
  <si>
    <t xml:space="preserve">the model needs to be rebuilt according to the current data.</t>
  </si>
  <si>
    <t xml:space="preserve">ADP-032</t>
  </si>
  <si>
    <t xml:space="preserve">D1 → M2</t>
  </si>
  <si>
    <t xml:space="preserve">More complex statistical models are constructed with allowance for several influencing factors.</t>
  </si>
  <si>
    <t xml:space="preserve">K1 (baseline drift or expiry); K2 (baseline drift or expiry); K3 (indicator not meaningful as defined); K4 (statistical misspecification)</t>
  </si>
  <si>
    <t xml:space="preserve">ADP-034</t>
  </si>
  <si>
    <t xml:space="preserve">D3 → M3</t>
  </si>
  <si>
    <t xml:space="preserve">The errors are even smaller for multi-factorial models, including those which make use of the theory of artificial neural networks or various physical models of equipment constructed on the basis of the results of tests or numerical modeling [4, 5].</t>
  </si>
  <si>
    <t xml:space="preserve">ADP-033</t>
  </si>
  <si>
    <t xml:space="preserve">D2 → M3</t>
  </si>
  <si>
    <t xml:space="preserve">runs models periodically based on a time period chosen by the user, chooses the best-performing model, and recalculates the existing norms</t>
  </si>
  <si>
    <t xml:space="preserve">ADP-035</t>
  </si>
  <si>
    <t xml:space="preserve">D1 → M3</t>
  </si>
  <si>
    <t xml:space="preserve">la tecnología SGIE recomienda establecer una estructura de indicadores de desempeño energético a nivel de empresa o proceso en forma de “árbol de indicadores”, figura 7, de manera tal, que el indicador de eficiencia base 100 de la empresa sea estructurado a partir de los indicadores de eficiencia base 100 de cada uno de las áreas y equipos de uso final que lo componen.</t>
  </si>
  <si>
    <t xml:space="preserve">K1 (statistical misspecification); K2 (non-stationarity of the relationship); K3 (indicator not meaningful as defined)</t>
  </si>
  <si>
    <t xml:space="preserve">ADP-036</t>
  </si>
  <si>
    <t xml:space="preserve">Como resultado se identificaron siete variables con el mayor impacto en el consumo de energía en los centros de costos críticos de clinkerización, molienda de cemento y primaria, las cuales se resumen en la tabla 3.</t>
  </si>
  <si>
    <t xml:space="preserve">adaptation other: identificación y estabilización de variables de control operacional por centro de costo de energía</t>
  </si>
  <si>
    <t xml:space="preserve">ADP-037</t>
  </si>
  <si>
    <t xml:space="preserve">analysis of the causes of deviations, reporting of results, and finally, the modification of target lines.</t>
  </si>
  <si>
    <t xml:space="preserve">K1 (non-stationarity of the relationship); K2 (baseload or non-productive energy)</t>
  </si>
  <si>
    <t xml:space="preserve">ADP-039</t>
  </si>
  <si>
    <t xml:space="preserve">The authors have recently made a contribution to this ﬁeld [21,22], by suggesting the use of the tabular CUSUM control chart.</t>
  </si>
  <si>
    <t xml:space="preserve">adaptation other: tabular CUSUM control chart to ensure the model refers to the most recent and stable period</t>
  </si>
  <si>
    <t xml:space="preserve">K1 (indicator not meaningful as defined); K2 (indicator not meaningful as defined); K3 (cross-site comparability); K4 (cross-site comparability); K5 (cross-site comparability); K6 (indicator not meaningful as defined); K7 (statistical misspecification); K8 (non-stationarity of the relationship); K9 (baseline drift or expiry); K10 (indicator not meaningful as defined); K11 (multi-product allocation)</t>
  </si>
  <si>
    <t xml:space="preserve">ADP-040</t>
  </si>
  <si>
    <t xml:space="preserve">D3 → A2</t>
  </si>
  <si>
    <t xml:space="preserve">it should be complemented with another indicator e for example, the variable consumption ratio k or the marginal consumption c1 e since, in general, SEC depends on the production rate.</t>
  </si>
  <si>
    <t xml:space="preserve">adaptation other: complement SEC with the variable consumption ratio k or the marginal consumption c1 to separate the production-rate effect</t>
  </si>
  <si>
    <t xml:space="preserve">ADP-041</t>
  </si>
  <si>
    <t xml:space="preserve">D4 → paper-level argument</t>
  </si>
  <si>
    <t xml:space="preserve">the comparison of technologies should be performed at full capacity, i.e. at nominal variable consumption ratio kn, which changes from installation to installation.</t>
  </si>
  <si>
    <t xml:space="preserve">adaptation other: compare technologies at full capacity (nominal variable consumption ratio) to remove the effect of production level</t>
  </si>
  <si>
    <t xml:space="preserve">ADP-042</t>
  </si>
  <si>
    <t xml:space="preserve">D5 → M4</t>
  </si>
  <si>
    <t xml:space="preserve">This aspect can be addressed through an energy characterisation of the furnace, using daily data instead of monthly data.</t>
  </si>
  <si>
    <t xml:space="preserve">adaptation other: energy characterisation of the furnace using daily data instead of monthly data to capture the nonlinear behaviour</t>
  </si>
  <si>
    <t xml:space="preserve">ADP-038</t>
  </si>
  <si>
    <t xml:space="preserve">D1 → A2</t>
  </si>
  <si>
    <t xml:space="preserve">In general, with multiple energy drivers, the multivariate regression analysis can provide a mathematical model of the process energy consumption</t>
  </si>
  <si>
    <t xml:space="preserve">ADP-043</t>
  </si>
  <si>
    <t xml:space="preserve">D6 → paper-level argument</t>
  </si>
  <si>
    <t xml:space="preserve">provided that the allocation of the energy consumptions is stipulated among the products, for example in accordance with the steps outlined in LCA standard ISO 14044:2006.</t>
  </si>
  <si>
    <t xml:space="preserve">K11</t>
  </si>
  <si>
    <t xml:space="preserve">ADP-044</t>
  </si>
  <si>
    <t xml:space="preserve">In order to improve the monitoring and reporting of electrical energy consumption PPC is implementing the key performance indicators for each production step in the process for the electrical energy consumption in a cement plant:</t>
  </si>
  <si>
    <t xml:space="preserve">K1 (indicator not meaningful as defined)</t>
  </si>
  <si>
    <t xml:space="preserve">ADP-046</t>
  </si>
  <si>
    <t xml:space="preserve">K1 (validity envelope exceeded)</t>
  </si>
  <si>
    <t xml:space="preserve">ADP-045</t>
  </si>
  <si>
    <t xml:space="preserve">Specific Energy Consumption (SEC) was used in this work to compare the energy performance of different plants with the same boundaries.</t>
  </si>
  <si>
    <t xml:space="preserve">ADP-047</t>
  </si>
  <si>
    <t xml:space="preserve">Hence, additional analysis by production intervals should be carried out.</t>
  </si>
  <si>
    <t xml:space="preserve">K1 (validity envelope exceeded); K2 (statistical misspecification); K3 (cross-site comparability); K4 (cross-site comparability); K5 (other)</t>
  </si>
  <si>
    <t xml:space="preserve">ADP-049</t>
  </si>
  <si>
    <t xml:space="preserve">Finally, a detailed analysis of the distribution of share of final products (oxygen, nitrogen and argon) and its state (gas or liquid) is required to better understand the energy performance of the technical gas sector</t>
  </si>
  <si>
    <t xml:space="preserve">ADP-048</t>
  </si>
  <si>
    <t xml:space="preserve">Further analysis will be focused on the analysis of different variables that affect energy efficiency of the industrial gases sector.</t>
  </si>
  <si>
    <t xml:space="preserve">ADP-050</t>
  </si>
  <si>
    <t xml:space="preserve">A new EnPI, using pretty much the same input parameters, but including information on the process, can thus be the answer.</t>
  </si>
  <si>
    <t xml:space="preserve">K1 (observability gap — quantity not measured); K2 (other)</t>
  </si>
  <si>
    <t xml:space="preserve">ADP-051</t>
  </si>
  <si>
    <t xml:space="preserve">selecting more locationspecific data, with higher temporal granularity (a week, a month, every change in the batch process, ...) and a more dedicated data gathering on the production itself (sub-process level)</t>
  </si>
  <si>
    <t xml:space="preserve">ADP-052</t>
  </si>
  <si>
    <t xml:space="preserve">The variation due to different pulp properties could be normalized by converting it into one main pulp.</t>
  </si>
  <si>
    <t xml:space="preserve">K1 (multi-product allocation); K2 (cross-site comparability); K3 (multi-product allocation); K4 (insufficient data length for the model)</t>
  </si>
  <si>
    <t xml:space="preserve">ADP-053</t>
  </si>
  <si>
    <t xml:space="preserve">it was finalized to carry out benchmarking per range of production scale for each sub-sector (i.e. packaging, tissue, writing and printing sub-sector).</t>
  </si>
  <si>
    <t xml:space="preserve">ADP-054</t>
  </si>
  <si>
    <t xml:space="preserve">New SES, SCAS, and SLS energy performance indicator parameters were presented to the literature in this study.</t>
  </si>
  <si>
    <t xml:space="preserve">adaptation other: New specific-saving energy performance indicators normalised to production: SES, SCAS and SLS</t>
  </si>
  <si>
    <t xml:space="preserve">K1 (non-stationarity of the relationship); K2 (observability gap — quantity not measured)</t>
  </si>
  <si>
    <t xml:space="preserve">ADP-055</t>
  </si>
  <si>
    <t xml:space="preserve">sites that are clearly far from the mean trend of the energy consumption vs. production ratio (outliers).</t>
  </si>
  <si>
    <t xml:space="preserve">K1 (cross-site comparability); K2 (indicator not meaningful as defined); K3 (statistical misspecification); K4 (statistical misspecification); K5 (statistical misspecification); K6 (non-stationarity of the relationship); K7 (data quality — missing, erroneous or discontinuous data)</t>
  </si>
  <si>
    <t xml:space="preserve">ADP-059</t>
  </si>
  <si>
    <t xml:space="preserve">This model can be used as the basis for more advanced models, such as stochastic frontier analysis (SFA) [31], index decomposition analysis (IDA) [50], or data envelopment analysis (DEA) [51] for calculation of energy-efﬁciency impact or deviation from benchmark.</t>
  </si>
  <si>
    <t xml:space="preserve">adaptation other: use of the EnPI model as basis for more advanced models (SFA, IDA, DEA)</t>
  </si>
  <si>
    <t xml:space="preserve">ADP-056</t>
  </si>
  <si>
    <t xml:space="preserve">The normalization work that was pre-emptively accomplished in order to correct or dismiss nonhomogeneous elements: a partition of NACE group 23.51 depending on the characteristic processes of the sites.</t>
  </si>
  <si>
    <t xml:space="preserve">ADP-057</t>
  </si>
  <si>
    <t xml:space="preserve">a “virtual” electric consumption related to the complete production cycle of all cement actually produced on the site was calculated.</t>
  </si>
  <si>
    <t xml:space="preserve">ADP-058</t>
  </si>
  <si>
    <t xml:space="preserve">D4 → M11</t>
  </si>
  <si>
    <t xml:space="preserve">the impact of the number of cyclones on the pre-heating phase before clinker production was evaluated.</t>
  </si>
  <si>
    <t xml:space="preserve">ADP-060</t>
  </si>
  <si>
    <t xml:space="preserve">If determined by using a weighted average price, the EI dropped by 4% to a weighted value of 0.38 t.o.e. per thousand EUR.</t>
  </si>
  <si>
    <t xml:space="preserve">adaptation other: recomputing Energy Intensity using a weighted average production price to remove the distortion caused by product price changes</t>
  </si>
  <si>
    <t xml:space="preserve">K1 (indicator not meaningful as defined); K2 (indicator not meaningful as defined); K3 (non-stationarity of the relationship)</t>
  </si>
  <si>
    <t xml:space="preserve">ADP-061</t>
  </si>
  <si>
    <t xml:space="preserve">The data from this factory excluded from the analysis.</t>
  </si>
  <si>
    <t xml:space="preserve">K1 (baseline drift or expiry); K2 (cross-site comparability)</t>
  </si>
  <si>
    <t xml:space="preserve">ADP-062</t>
  </si>
  <si>
    <t xml:space="preserve">adaptation other: periodic adjustment of BEC and SEC baseline as energy consumption changes over time</t>
  </si>
  <si>
    <t xml:space="preserve">ADP-063</t>
  </si>
  <si>
    <t xml:space="preserve">To solve the problem, the SBM-DEA model are proposed, which set different preference weights for input and output, and the sorting results are more distinct (Lozano and Gutierrez, 2011).</t>
  </si>
  <si>
    <t xml:space="preserve">adaptation other: SBM-DEA model setting preference weights for inputs and outputs</t>
  </si>
  <si>
    <t xml:space="preserve">K1 (other); K2 (other)</t>
  </si>
  <si>
    <t xml:space="preserve">ADP-064</t>
  </si>
  <si>
    <t xml:space="preserve">for the replicability analysis of the projects in different sectors or different companies, it could be useful to have the process baseline consumption for each energy carrier to scale it to the desired technology (e.g. toe/ton of product);</t>
  </si>
  <si>
    <t xml:space="preserve">K1 (cross-site comparability); K2 (data quality — missing, erroneous or discontinuous data)</t>
  </si>
  <si>
    <t xml:space="preserve">ADP-065</t>
  </si>
  <si>
    <t xml:space="preserve">The ambient temperature should be initially included in every analysis in order to be in accordance with normative standards (c.f. ISO 50006:2017 [20]).</t>
  </si>
  <si>
    <t xml:space="preserve">K1 (validity envelope exceeded); K2 (validity envelope exceeded); K3 (data quality — missing, erroneous or discontinuous data); K4 (baseline drift or expiry); K5 (insufficient data length for the model); K6 (non-stationarity of the relationship); K7 (statistical misspecification)</t>
  </si>
  <si>
    <t xml:space="preserve">ADP-066</t>
  </si>
  <si>
    <t xml:space="preserve">Outlier removal is performed by ﬁltering data by specifying upper and lower bounds which deﬁne the typical operational envelope.</t>
  </si>
  <si>
    <t xml:space="preserve">ADP-069</t>
  </si>
  <si>
    <t xml:space="preserve">In order to overcome the shortcomings of linear regression models, ALAMO selects a combination of simple basis functions that ﬁt the responses with an acceptable accuracy.</t>
  </si>
  <si>
    <t xml:space="preserve">adaptation other: nonlinear surrogate model composed of simple basis functions to overcome shortcomings of linear regression</t>
  </si>
  <si>
    <t xml:space="preserve">K7</t>
  </si>
  <si>
    <t xml:space="preserve">ADP-067</t>
  </si>
  <si>
    <t xml:space="preserve">the diﬀerent weights of the clusters are considered using a Weighted Least Square (WLS) formulation in the objective function rather than the ordinary least square error</t>
  </si>
  <si>
    <t xml:space="preserve">ADP-068</t>
  </si>
  <si>
    <t xml:space="preserve">the proposed method can be applied to redeﬁne the energy baseline of a process after retroﬁtting (c.f. ISO 50001:2018).</t>
  </si>
  <si>
    <t xml:space="preserve">adaptation other: redefine the energy baseline of a process after retrofitting / re-evaluate the BDP after a period of time</t>
  </si>
  <si>
    <t xml:space="preserve">ADP-070</t>
  </si>
  <si>
    <t xml:space="preserve">adaptation other: development of dedicated computer programming models to minimise subjectivity of the self-assessment outcome and for document control</t>
  </si>
  <si>
    <t xml:space="preserve">ADP-071</t>
  </si>
  <si>
    <t xml:space="preserve">One approach to controlling for product mix is to segment the industry into cohorts based on product categories.</t>
  </si>
  <si>
    <t xml:space="preserve">K1 (statistical misspecification); K2 (observability gap — quantity not measured); K3 (statistical misspecification); K4 (cross-site comparability); K5 (indicator not meaningful as defined); K6 (data quality — missing, erroneous or discontinuous data); K7 (indicator not meaningful as defined); K8 (multi-product allocation)</t>
  </si>
  <si>
    <t xml:space="preserve">ADP-072</t>
  </si>
  <si>
    <t xml:space="preserve">these studies use a multivariate approach to normalization where multiple effects are simultaneously considered</t>
  </si>
  <si>
    <t xml:space="preserve">ADP-073</t>
  </si>
  <si>
    <t xml:space="preserve">D3 → M2</t>
  </si>
  <si>
    <t xml:space="preserve">All the case studies consider the possibility that efficiency is skewed and test whether a stochastic frontier (SF) energy model is appropriate</t>
  </si>
  <si>
    <t xml:space="preserve">adaptation other: stochastic frontier model to represent skewed efficiency distribution</t>
  </si>
  <si>
    <t xml:space="preserve">ADP-074</t>
  </si>
  <si>
    <t xml:space="preserve">D4 → M1</t>
  </si>
  <si>
    <t xml:space="preserve">Two of the log normal models exhibit heteroscedastic distributions with variance declining with respect to production volumes.</t>
  </si>
  <si>
    <t xml:space="preserve">ADP-075</t>
  </si>
  <si>
    <t xml:space="preserve">D5 → M1</t>
  </si>
  <si>
    <t xml:space="preserve">The process of benchmarking and rebenchmarking a sector provides further insights into the improvement potential of the industry over time.</t>
  </si>
  <si>
    <t xml:space="preserve">adaptation other: periodic re-benchmarking / update of the baseline (benchmark) year</t>
  </si>
  <si>
    <t xml:space="preserve">ADP-076</t>
  </si>
  <si>
    <t xml:space="preserve">Greater availability of data from measurements; could be defined a minimum measurement system in order to measure the amount of energy used by all the compressor park including the cooling system’s pumps and the compressed air produced by all the compressors (Fig. 5).</t>
  </si>
  <si>
    <t xml:space="preserve">K1 (data quality — missing, erroneous or discontinuous data); K2 (cross-site comparability); K3 (validity envelope exceeded); K4 (statistical misspecification); K5 (statistical misspecification); K6 (indicator not meaningful as defined); K7 (data quality — missing, erroneous or discontinuous data); K8 (observability gap — quantity not measured)</t>
  </si>
  <si>
    <t xml:space="preserve">ADP-077</t>
  </si>
  <si>
    <t xml:space="preserve">In the event that the system has multiple pressure levels it would be useful to develop a statistical analysis system that considers the effect of pressure and develop different benchmarks based on the pressure level.</t>
  </si>
  <si>
    <t xml:space="preserve">ADP-078</t>
  </si>
  <si>
    <t xml:space="preserve">Some further information about the pressure of compressed air generated.</t>
  </si>
  <si>
    <t xml:space="preserve">ADP-079</t>
  </si>
  <si>
    <t xml:space="preserve">Data coming from firms could be used for a preliminary clustering and later perform the analysis cluster by cluster.</t>
  </si>
  <si>
    <t xml:space="preserve">adaptation other: clustering of enterprises before performing analysis cluster by cluster</t>
  </si>
  <si>
    <t xml:space="preserve">ADP-080</t>
  </si>
  <si>
    <t xml:space="preserve">The regression method using measured data can help firms to analyze their electric consumption and thanks to control charts and CUSUM they can have a real-time monitoring system.</t>
  </si>
  <si>
    <t xml:space="preserve">adaptation other: control charts and CUSUM for real-time monitoring of consumption</t>
  </si>
  <si>
    <t xml:space="preserve">ADP-083</t>
  </si>
  <si>
    <t xml:space="preserve">the ENERGY STAR EPI uses a multivariate approach to normalization where multiple effects are simultaneously considered.</t>
  </si>
  <si>
    <t xml:space="preserve">K1 (indicator not meaningful as defined); K2 (data quality — missing, erroneous or discontinuous data); K3 (data quality — missing, erroneous or discontinuous data); K4 (statistical misspecification); K5 (non-stationarity of the relationship)</t>
  </si>
  <si>
    <t xml:space="preserve">ADP-081</t>
  </si>
  <si>
    <t xml:space="preserve">imputations were made to estimate oxygen usage for plants with missing observations.</t>
  </si>
  <si>
    <t xml:space="preserve">adaptation other: imputation of missing oxygen and scrap data using plant-specific ratios</t>
  </si>
  <si>
    <t xml:space="preserve">ADP-082</t>
  </si>
  <si>
    <t xml:space="preserve">the 2009 dummy variable was included in the final regression to account for the extreme impact on energy use in the recession.</t>
  </si>
  <si>
    <t xml:space="preserve">ADP-085</t>
  </si>
  <si>
    <t xml:space="preserve">the interviewees expressed a wish for the further development of measurement technology, general guidelines and public demonstration of energy performance measurement.</t>
  </si>
  <si>
    <t xml:space="preserve">K1 (non-stationarity of the relationship); K2 (observability gap — quantity not measured); K3 (other); K4 (other); K5 (cross-site comparability); K6 (indicator not meaningful as defined); K7 (indicator not meaningful as defined)</t>
  </si>
  <si>
    <t xml:space="preserve">ADP-084</t>
  </si>
  <si>
    <t xml:space="preserve">‘There is some need for modelling and simple simulation models to be used for process operation’.</t>
  </si>
  <si>
    <t xml:space="preserve">adaptation other: modelling and simple simulation models for process operation</t>
  </si>
  <si>
    <t xml:space="preserve">ADP-087</t>
  </si>
  <si>
    <t xml:space="preserve">EPA agreed to develop a new EPI based on new data and released it to the industry so further improvement could be achieved.</t>
  </si>
  <si>
    <t xml:space="preserve">adaptation other: periodic update / re-estimation of the EPI benchmark using more recent data</t>
  </si>
  <si>
    <t xml:space="preserve">K1 (statistical misspecification); K2 (statistical misspecification); K3 (baseline drift or expiry); K4 (data quality — missing, erroneous or discontinuous data); K5 (multi-product allocation); K6 (other)</t>
  </si>
  <si>
    <t xml:space="preserve">ADP-089</t>
  </si>
  <si>
    <t xml:space="preserve">The new model captures the joint effect of producing clinker and finish grinding cement.</t>
  </si>
  <si>
    <t xml:space="preserve">ADP-086</t>
  </si>
  <si>
    <t xml:space="preserve">the squared residuals were regressed against the inverse of the average capacity without an intercept</t>
  </si>
  <si>
    <t xml:space="preserve">adaptation other: modelling the error variance as a function of average kiln capacity (heteroscedastic variance)</t>
  </si>
  <si>
    <t xml:space="preserve">ADP-088</t>
  </si>
  <si>
    <t xml:space="preserve">we adjust the intercept term, β0 in Eq. (1) to reflect the 1997 estimates of the impact of specialty cement production.</t>
  </si>
  <si>
    <t xml:space="preserve">K6</t>
  </si>
  <si>
    <t xml:space="preserve">ADP-090</t>
  </si>
  <si>
    <t xml:space="preserve">In a ﬁrst step of processing phase, 120 outliers corresponding to the days where the plant had unusual operation were ﬁltered and deleted from the training sample.</t>
  </si>
  <si>
    <t xml:space="preserve">K1 (baseline drift or expiry)</t>
  </si>
  <si>
    <t xml:space="preserve">ADP-091</t>
  </si>
  <si>
    <t xml:space="preserve">For operation improvements, which imply changes of controllable variables to improve energy performance, baseline would be adjusted to actual external inﬂuence conditions.</t>
  </si>
  <si>
    <t xml:space="preserve">Modelo</t>
  </si>
  <si>
    <t xml:space="preserve">Campo</t>
  </si>
  <si>
    <t xml:space="preserve">Contexto</t>
  </si>
  <si>
    <t xml:space="preserve">Valor</t>
  </si>
  <si>
    <t xml:space="preserve">orig_Valor</t>
  </si>
  <si>
    <t xml:space="preserve">MOD-001</t>
  </si>
  <si>
    <t xml:space="preserve">A1/M1 «the simulation model»</t>
  </si>
  <si>
    <t xml:space="preserve">vetor: natural gas</t>
  </si>
  <si>
    <t xml:space="preserve">In the simulation model of the refinery’s cogeneration plant, the output data used to validate the model is the natural gas consumed by the set of seven boilers.</t>
  </si>
  <si>
    <t xml:space="preserve">MOD-002</t>
  </si>
  <si>
    <t xml:space="preserve">MOD-003</t>
  </si>
  <si>
    <t xml:space="preserve">design: not reported; métricas: correlation coefficient between real and simulated natural gas consumption=0.6408; median percentage difference (real vs simulated natural gas)=7.8%</t>
  </si>
  <si>
    <t xml:space="preserve">the correlation coefficient between real and simulated data is 0.6408, which is a strong correlation according to Cohen, cited by Lalinde et al. (2018).</t>
  </si>
  <si>
    <t xml:space="preserve">MOD-004</t>
  </si>
  <si>
    <t xml:space="preserve">A1/M1 «the Gradient Boosting Machines (GBM) algorithm / GBM predict»</t>
  </si>
  <si>
    <t xml:space="preserve">vetor: steam</t>
  </si>
  <si>
    <t xml:space="preserve">The present study considered data collected between January 2020 and January 2021 from a gas refinery's Distributed Control System (DCS) plant at Iran's South Pars Gas Complex.</t>
  </si>
  <si>
    <t xml:space="preserve">MOD-005</t>
  </si>
  <si>
    <t xml:space="preserve">MOD-006</t>
  </si>
  <si>
    <t xml:space="preserve">design: held-out split; métricas: R2 (validation set)=0.99; RMSE (validation set)=108.8; RMAE (validation set)=0.14</t>
  </si>
  <si>
    <t xml:space="preserve">the GBM algorithm performed as a robust and high-accuracy model with R2 (validation set) = 0.99, RSME (validation set) = 108.8 kg.hr−1 and RMAE (validation set) = 0.14% at predicting the steam flow rate of the EDU.</t>
  </si>
  <si>
    <t xml:space="preserve">MOD-007</t>
  </si>
  <si>
    <t xml:space="preserve">A1/M1 «SEC for both electricity and heat ... for the entire mill»</t>
  </si>
  <si>
    <t xml:space="preserve">bounds: the range of accepted values for the EnPIs monitored (the mill's 'normal state of operation'), defined individually for each mill and connected to a certain grade of pulp produced</t>
  </si>
  <si>
    <t xml:space="preserve">EnPIs for systems and flow level mainly serve to identify deviations from what is defined as a mill's normal state of operation, i.e. the range of accepted values for the EnPIs monitored.</t>
  </si>
  <si>
    <t xml:space="preserve">MOD-008</t>
  </si>
  <si>
    <t xml:space="preserve">A1/M2 «the steam demand per amount of black liquor dry solids»</t>
  </si>
  <si>
    <t xml:space="preserve">bounds: dry content of weak black liquor ranging from 15% (normal) to 25% (theoretical); normal vs. best point of operation</t>
  </si>
  <si>
    <t xml:space="preserve">Normal operation refers to the most likely point of operation. Best operation refers to an optimal state of operation that is considered long enough to be steady-state.</t>
  </si>
  <si>
    <t xml:space="preserve">MOD-011</t>
  </si>
  <si>
    <t xml:space="preserve">A1/M1 «the EnPI of the aggregated site»</t>
  </si>
  <si>
    <t xml:space="preserve">These flows do not cross the system boundary and thus are not considered as products of the aggregated RMU.</t>
  </si>
  <si>
    <t xml:space="preserve">MOD-012</t>
  </si>
  <si>
    <t xml:space="preserve">MOD-009</t>
  </si>
  <si>
    <t xml:space="preserve">vetor: electricity</t>
  </si>
  <si>
    <t xml:space="preserve">The electric power and steam demands are covered by imports from the grid.</t>
  </si>
  <si>
    <t xml:space="preserve">MOD-010</t>
  </si>
  <si>
    <t xml:space="preserve">MOD-013</t>
  </si>
  <si>
    <t xml:space="preserve">update_status: proposed</t>
  </si>
  <si>
    <t xml:space="preserve">In case of a modification of a process on the lowest hierarchical layer, only the corresponding energy baseline has to be adapted. The baseline on higher layers is adapted automatically by aggregation.</t>
  </si>
  <si>
    <t xml:space="preserve">MOD-014</t>
  </si>
  <si>
    <t xml:space="preserve">A1/M2 «EnB (BDP) model of the ammonia plant (NH3)»</t>
  </si>
  <si>
    <t xml:space="preserve">In case of a modification of a process on the lowest hierarchical layer, only the corresponding energy baseline has to be adapted.</t>
  </si>
  <si>
    <t xml:space="preserve">MOD-016</t>
  </si>
  <si>
    <t xml:space="preserve">A1/M3 «EnB (BDP) model of the acrylonitrile plant (AN)»</t>
  </si>
  <si>
    <t xml:space="preserve">MOD-018</t>
  </si>
  <si>
    <t xml:space="preserve">A1/M4 «EnB (BDP) model of the propylene oxide (POX) plant»</t>
  </si>
  <si>
    <t xml:space="preserve">MOD-015</t>
  </si>
  <si>
    <t xml:space="preserve">bounds: for production rates P &gt; 0 (EnB(P=0)=0)</t>
  </si>
  <si>
    <t xml:space="preserve">EnB models for the plants with respect to steam (S), electricity (EP) and natural gas (NG) for production rates</t>
  </si>
  <si>
    <t xml:space="preserve">MOD-017</t>
  </si>
  <si>
    <t xml:space="preserve">bounds: for production rates P &gt; 0</t>
  </si>
  <si>
    <t xml:space="preserve">MOD-019</t>
  </si>
  <si>
    <t xml:space="preserve">MOD-020</t>
  </si>
  <si>
    <t xml:space="preserve">paper</t>
  </si>
  <si>
    <t xml:space="preserve">data_available</t>
  </si>
  <si>
    <t xml:space="preserve">With the given data sets the results presented in this contribution are repeatable (see Tables A.1–A.3).</t>
  </si>
  <si>
    <t xml:space="preserve">MOD-021</t>
  </si>
  <si>
    <t xml:space="preserve">A1/M1 «Baseline thermal energy Plant 4 (Y = 834,81 X + 3.078.595.02»</t>
  </si>
  <si>
    <t xml:space="preserve">It will only be changed if there are significant changes to SEUs that have the potential to greatly affect energy performance such as operating patterns or the addition of major equipment.</t>
  </si>
  <si>
    <t xml:space="preserve">MOD-022</t>
  </si>
  <si>
    <t xml:space="preserve">A1/M2 «Baseline thermal energy Plant 5 (Y = 813,42 X + 5.051.987.87»</t>
  </si>
  <si>
    <t xml:space="preserve">MOD-023</t>
  </si>
  <si>
    <t xml:space="preserve">A1/M3 «Baseline thermal energy Power Plant CD (Kcal Coal vs KWh out»</t>
  </si>
  <si>
    <t xml:space="preserve">MOD-024</t>
  </si>
  <si>
    <t xml:space="preserve">A1/M4 «Baseline thermal energy Power Plant CD (Kcal Coal vs Ton Ste»</t>
  </si>
  <si>
    <t xml:space="preserve">MOD-025</t>
  </si>
  <si>
    <t xml:space="preserve">A1/M5 «Baseline Power Plant CD (Ton Steam vs KWh output; Y = 0,0041»</t>
  </si>
  <si>
    <t xml:space="preserve">MOD-026</t>
  </si>
  <si>
    <t xml:space="preserve">A1/M6 «Electrical energy baseline (single regression, SEUs Cement p»</t>
  </si>
  <si>
    <t xml:space="preserve">MOD-027</t>
  </si>
  <si>
    <t xml:space="preserve">A1/M1 «MLR model — Output 1 (Electrical Energy Consumption)»</t>
  </si>
  <si>
    <t xml:space="preserve">design: held-out split; métricas: R2=0.9638; MAPE=2.108</t>
  </si>
  <si>
    <t xml:space="preserve">MLR Output 1 (O1) 0.9638 2.108</t>
  </si>
  <si>
    <t xml:space="preserve">MOD-028</t>
  </si>
  <si>
    <t xml:space="preserve">A1/M2 «MLP ANN model — Output 1 (Electrical Energy Consumption), LM»</t>
  </si>
  <si>
    <t xml:space="preserve">design: held-out split; métricas: R2=0.986; MAPE=1.27</t>
  </si>
  <si>
    <t xml:space="preserve">1 1 0.9860 1.270</t>
  </si>
  <si>
    <t xml:space="preserve">MOD-029</t>
  </si>
  <si>
    <t xml:space="preserve">A1/M3 «MLR model — Output 2 (Steam Consumption)»</t>
  </si>
  <si>
    <t xml:space="preserve">design: held-out split; métricas: R2=0.7303; MAPE=3.388</t>
  </si>
  <si>
    <t xml:space="preserve">Output 2 (O2) 0.7303 3.388</t>
  </si>
  <si>
    <t xml:space="preserve">MOD-030</t>
  </si>
  <si>
    <t xml:space="preserve">A1/M4 «MLP ANN model — Output 2 (Steam Consumption), LM, 1&amp;1 hidden»</t>
  </si>
  <si>
    <t xml:space="preserve">design: held-out split; métricas: R2=0.7606; MAPE=2.45</t>
  </si>
  <si>
    <t xml:space="preserve">1 1 0.7606 2.450</t>
  </si>
  <si>
    <t xml:space="preserve">MOD-031</t>
  </si>
  <si>
    <t xml:space="preserve">A1/M5 «MLR model — Output 3 (Cooling Water Consumption)»</t>
  </si>
  <si>
    <t xml:space="preserve">design: held-out split; métricas: R2=0.6331; MAPE=9.237</t>
  </si>
  <si>
    <t xml:space="preserve">Output 3 (O3) 0.6331 9.237</t>
  </si>
  <si>
    <t xml:space="preserve">MOD-032</t>
  </si>
  <si>
    <t xml:space="preserve">A1/M6 «MLP ANN model — Output 3 (Cooling Water Consumption), LM, 1&amp;»</t>
  </si>
  <si>
    <t xml:space="preserve">design: held-out split; métricas: R2=0.6369; MAPE=11.389</t>
  </si>
  <si>
    <t xml:space="preserve">1 1 0.6369 11.389</t>
  </si>
  <si>
    <t xml:space="preserve">MOD-033</t>
  </si>
  <si>
    <t xml:space="preserve">A1/M1 «the energy baseline (EB = 0.0595x + 0.988)»</t>
  </si>
  <si>
    <t xml:space="preserve">using calibrated sensor on a petrochemical plant in order to know the steam boiler behavior</t>
  </si>
  <si>
    <t xml:space="preserve">MOD-034</t>
  </si>
  <si>
    <t xml:space="preserve">MOD-035</t>
  </si>
  <si>
    <t xml:space="preserve">MOD-036</t>
  </si>
  <si>
    <t xml:space="preserve">MOD-037</t>
  </si>
  <si>
    <t xml:space="preserve">A1/M2 «target line (Y = 0.0586x + 1.3814)»</t>
  </si>
  <si>
    <t xml:space="preserve">MOD-038</t>
  </si>
  <si>
    <t xml:space="preserve">MOD-039</t>
  </si>
  <si>
    <t xml:space="preserve">MOD-040</t>
  </si>
  <si>
    <t xml:space="preserve">MOD-041</t>
  </si>
  <si>
    <t xml:space="preserve">A1/M3 «the Base 100 efficiency index»</t>
  </si>
  <si>
    <t xml:space="preserve">MOD-042</t>
  </si>
  <si>
    <t xml:space="preserve">MOD-043</t>
  </si>
  <si>
    <t xml:space="preserve">A1/M4 «index of real use (ICactual = EActual/P)»</t>
  </si>
  <si>
    <t xml:space="preserve">MOD-044</t>
  </si>
  <si>
    <t xml:space="preserve">MOD-045</t>
  </si>
  <si>
    <t xml:space="preserve">MOD-046</t>
  </si>
  <si>
    <t xml:space="preserve">MOD-047</t>
  </si>
  <si>
    <t xml:space="preserve">A1/M5 «control charts (steam production and gas consumption)»</t>
  </si>
  <si>
    <t xml:space="preserve">MOD-048</t>
  </si>
  <si>
    <t xml:space="preserve">MOD-049</t>
  </si>
  <si>
    <t xml:space="preserve">MOD-050</t>
  </si>
  <si>
    <t xml:space="preserve">MOD-051</t>
  </si>
  <si>
    <t xml:space="preserve">bounds: upper and lower control limits (all data fell between the upper and lower limits)</t>
  </si>
  <si>
    <t xml:space="preserve">where the upper and lower limits were determined in order to identify the presence of atypical points or abnormal operating conditions in the process.</t>
  </si>
  <si>
    <t xml:space="preserve">MOD-052</t>
  </si>
  <si>
    <t xml:space="preserve">A1/M1 «Total energy per cement produced (Equation 3)»</t>
  </si>
  <si>
    <t xml:space="preserve">update_status: executed</t>
  </si>
  <si>
    <t xml:space="preserve">MOD-053</t>
  </si>
  <si>
    <t xml:space="preserve">A1/M2 «Cement manufacturing (Equation 5)»</t>
  </si>
  <si>
    <t xml:space="preserve">MOD-054</t>
  </si>
  <si>
    <t xml:space="preserve">A1/M3 «Energy cost per cement produced (Equation 4)»</t>
  </si>
  <si>
    <t xml:space="preserve">MOD-055</t>
  </si>
  <si>
    <t xml:space="preserve">A1/M4 «Specific sectional energy intensity (Equation 6)»</t>
  </si>
  <si>
    <t xml:space="preserve">MOD-056</t>
  </si>
  <si>
    <t xml:space="preserve">A1/M5 «Specific sectional energy cost intensity (Equation 7)»</t>
  </si>
  <si>
    <t xml:space="preserve">MOD-057</t>
  </si>
  <si>
    <t xml:space="preserve">A1/M6 «Specific sectional production cost (Equation 8)»</t>
  </si>
  <si>
    <t xml:space="preserve">MOD-058</t>
  </si>
  <si>
    <t xml:space="preserve">A1/M1 «"Dynamic targeting" calculation models»</t>
  </si>
  <si>
    <t xml:space="preserve">vetor: total energy</t>
  </si>
  <si>
    <t xml:space="preserve">This tool has a dashboard for displaying EnPIs values, energy costs, energy savings of equipment, and so on.</t>
  </si>
  <si>
    <t xml:space="preserve">MOD-059</t>
  </si>
  <si>
    <t xml:space="preserve">MOD-060</t>
  </si>
  <si>
    <t xml:space="preserve">Focusing on the energy specification changing by the operating modes, equipment availability, crude oil and production changes, this function creates calculation models which are fitted to them and manages finely with setting the detail targets.</t>
  </si>
  <si>
    <t xml:space="preserve">MOD-063</t>
  </si>
  <si>
    <t xml:space="preserve">A1/M1 «the energy baseline model is defined as a linear model»</t>
  </si>
  <si>
    <t xml:space="preserve">MOD-061</t>
  </si>
  <si>
    <t xml:space="preserve">Energy input for cracked gas compressor unit is ultrahigh pressure steam</t>
  </si>
  <si>
    <t xml:space="preserve">MOD-062</t>
  </si>
  <si>
    <t xml:space="preserve">MOD-064</t>
  </si>
  <si>
    <t xml:space="preserve">bounds: working near the set point</t>
  </si>
  <si>
    <t xml:space="preserve">MOD-065</t>
  </si>
  <si>
    <t xml:space="preserve">Variables defined in detail and parts of the measured data are shown in Table 2.</t>
  </si>
  <si>
    <t xml:space="preserve">MOD-066</t>
  </si>
  <si>
    <t xml:space="preserve">A1/M2 «a two-factor model which accounts for RFE use in relation to»</t>
  </si>
  <si>
    <t xml:space="preserve">the automated formulation and continual updating of dynamic norms that are calculated on the basis of multifactorial statistical models, physical models, and neural-network models</t>
  </si>
  <si>
    <t xml:space="preserve">MOD-067</t>
  </si>
  <si>
    <t xml:space="preserve">A2/M3 «the electric-power-consumption norm of a furnace at the Siem»</t>
  </si>
  <si>
    <t xml:space="preserve">MOD-068</t>
  </si>
  <si>
    <t xml:space="preserve">A3/M4 «a natural-gas-consumption norm for a compressor station»</t>
  </si>
  <si>
    <t xml:space="preserve">MOD-069</t>
  </si>
  <si>
    <t xml:space="preserve">A1/M1 «Reforming section Fuel Gas, kg/hr equation (Table 4)»</t>
  </si>
  <si>
    <t xml:space="preserve">bounds: Reforming section SOE: Minimum 18800.62 kg/hr, 2.50 S/C, 730.02 °C, 115.00 °C, 1.50 % ; Maximum 26499.13 kg/hr, 5.00 S/C, 899.97 °C, 169.97 °C, 15.00 %</t>
  </si>
  <si>
    <t xml:space="preserve">The values were selected based on the safe operating envelope (SOE) ranges of the actual ammonia plants according to their equipment sizing, maximum load, and turndown ratio as shown in Table 2.</t>
  </si>
  <si>
    <t xml:space="preserve">MOD-071</t>
  </si>
  <si>
    <t xml:space="preserve">A1/M2 «Reforming section Steam, kg/hr equation (Table 4)»</t>
  </si>
  <si>
    <t xml:space="preserve">bounds: Reforming section SOE ranges (Table 2)</t>
  </si>
  <si>
    <t xml:space="preserve">MOD-073</t>
  </si>
  <si>
    <t xml:space="preserve">A1/M3 «Package boiler section Fuel Gas equation (Table 4)»</t>
  </si>
  <si>
    <t xml:space="preserve">bounds: Package boiler section SOE ranges (Table 2)</t>
  </si>
  <si>
    <t xml:space="preserve">MOD-075</t>
  </si>
  <si>
    <t xml:space="preserve">A1/M4 «Synthesis gas compressor section HP Steam equation (Table 4)»</t>
  </si>
  <si>
    <t xml:space="preserve">bounds: Synthesis gas compressor section SOE ranges (Table 2)</t>
  </si>
  <si>
    <t xml:space="preserve">MOD-077</t>
  </si>
  <si>
    <t xml:space="preserve">A1/M5 «Air compressor section MP Steam equation (Table 4)»</t>
  </si>
  <si>
    <t xml:space="preserve">bounds: Air compressor section SOE ranges (Table 2)</t>
  </si>
  <si>
    <t xml:space="preserve">MOD-080</t>
  </si>
  <si>
    <t xml:space="preserve">code_available</t>
  </si>
  <si>
    <t xml:space="preserve">detailed program is shown in Appendix D</t>
  </si>
  <si>
    <t xml:space="preserve">MOD-070</t>
  </si>
  <si>
    <t xml:space="preserve">design: held-out split; métricas: Deviation ML vs actual (Plant A / B / C / D)=1.4 % / 0.8 % / 6.3 % / 7.3 %</t>
  </si>
  <si>
    <t xml:space="preserve">Deviation, ML 1.4 % 0.8 % 6.3 % 7.3 %</t>
  </si>
  <si>
    <t xml:space="preserve">MOD-072</t>
  </si>
  <si>
    <t xml:space="preserve">design: held-out split; métricas: Deviation ML vs actual (Plant A / B / C / D)=−0.6 % / −0.9 % / 0.4 % / −0.4 %</t>
  </si>
  <si>
    <t xml:space="preserve">Deviation, ML −0.6 % −0.9 % 0.4 % −0.4 %</t>
  </si>
  <si>
    <t xml:space="preserve">MOD-074</t>
  </si>
  <si>
    <t xml:space="preserve">design: held-out split; métricas: Deviation ML vs actual (Plant A / B / C / D)=2.3 % / 4.2 % / 3.2 % / 1.2 %</t>
  </si>
  <si>
    <t xml:space="preserve">Deviation, ML 2.3 % 4.2 % 3.2 % 1.2 %</t>
  </si>
  <si>
    <t xml:space="preserve">MOD-076</t>
  </si>
  <si>
    <t xml:space="preserve">design: held-out split; métricas: Deviation ML vs actual (Plant A / B / C / D)=0.6 % / 0.2 % / 1.5 % / 0.3 %</t>
  </si>
  <si>
    <t xml:space="preserve">Deviation, ML 0.6 % 0.2 % 1.5 % 0.3 %</t>
  </si>
  <si>
    <t xml:space="preserve">MOD-078</t>
  </si>
  <si>
    <t xml:space="preserve">design: held-out split; métricas: Deviation ML vs actual (Plant A / B / C / D)=1.2 % / 4.7 % / 0.6 % / −3.4 %</t>
  </si>
  <si>
    <t xml:space="preserve">Deviation, ML 1.2 % 4.7 % 0.6 % −3.4 %</t>
  </si>
  <si>
    <t xml:space="preserve">MOD-079</t>
  </si>
  <si>
    <t xml:space="preserve">Data will be made available on request.</t>
  </si>
  <si>
    <t xml:space="preserve">MOD-081</t>
  </si>
  <si>
    <t xml:space="preserve">A1/M1 «Primary Real EnPI»</t>
  </si>
  <si>
    <t xml:space="preserve">The Article 8 of the EED introduced the obligation for large companies to submit an energy audit of their production sites every four years, starting from December 2015.</t>
  </si>
  <si>
    <t xml:space="preserve">MOD-082</t>
  </si>
  <si>
    <t xml:space="preserve">A1/M2 «Electrical Real EnPI»</t>
  </si>
  <si>
    <t xml:space="preserve">MOD-083</t>
  </si>
  <si>
    <t xml:space="preserve">A1/M3 «Primary EnPI Model (linear regression of energy consumption »</t>
  </si>
  <si>
    <t xml:space="preserve">MOD-085</t>
  </si>
  <si>
    <t xml:space="preserve">A1/M4 «Electrical EnPI Model (linear regression of electricity cons»</t>
  </si>
  <si>
    <t xml:space="preserve">MOD-084</t>
  </si>
  <si>
    <t xml:space="preserve">bounds: low accuracy for productions &lt; 200 MNm3; low dispersion for 200 to 1000 MNm3</t>
  </si>
  <si>
    <t xml:space="preserve">The model presents a low dispersion for a large production range (200 to 1000 MNm3) with a mean value close to 0.0001 toe/Nm3 and 0.5 kWh/Nm3 for Primary and Electrical EnPIs.</t>
  </si>
  <si>
    <t xml:space="preserve">MOD-086</t>
  </si>
  <si>
    <t xml:space="preserve">MOD-087</t>
  </si>
  <si>
    <t xml:space="preserve">rayyan-472536425</t>
  </si>
  <si>
    <t xml:space="preserve">Hashim (2022)</t>
  </si>
  <si>
    <t xml:space="preserve">A1/M1 «corporate lagging EnPI (Energy Intensity)»</t>
  </si>
  <si>
    <t xml:space="preserve">Oil companies utilize the solution to analyze the energy consumption of concerned operating facilities.</t>
  </si>
  <si>
    <t xml:space="preserve">MOD-088</t>
  </si>
  <si>
    <t xml:space="preserve">MOD-089</t>
  </si>
  <si>
    <t xml:space="preserve">A2/M2 «EnPI for one PTA manufacturing facility»</t>
  </si>
  <si>
    <t xml:space="preserve">energy consumed in gigajoule (GJ) over the final product in metric ton</t>
  </si>
  <si>
    <t xml:space="preserve">MOD-090</t>
  </si>
  <si>
    <t xml:space="preserve">MOD-091</t>
  </si>
  <si>
    <t xml:space="preserve">A1/M5 «Equation (2), ˙mCA = AS2 + BS + C (dB-to-flow-rate correlati»</t>
  </si>
  <si>
    <t xml:space="preserve">bounds: correlation constants provided for operational pressures 0.7, 1.75, 3.5, 5 and 7 Bar</t>
  </si>
  <si>
    <t xml:space="preserve">A, B, and C are correlation constants depending on operation pressure and measure ment device, presented in Table 1.</t>
  </si>
  <si>
    <t xml:space="preserve">MOD-092</t>
  </si>
  <si>
    <t xml:space="preserve">A1/M1 «real electric EnPI (Table 1, Electric/Cement)»</t>
  </si>
  <si>
    <t xml:space="preserve">bounds: Production range 145,000–1,015,000 t of cement (split into two ranges)</t>
  </si>
  <si>
    <t xml:space="preserve">145,000 521,000 119 ± 10 kWh/t 15 HIGH 521,001 1,015,000 108 ± 13 14 HIGH</t>
  </si>
  <si>
    <t xml:space="preserve">MOD-093</t>
  </si>
  <si>
    <t xml:space="preserve">A1/M2 «real thermal EnPI (Table 1, Thermal/Clinker)»</t>
  </si>
  <si>
    <t xml:space="preserve">bounds: Clinker production range 142,000–1,097,000 t</t>
  </si>
  <si>
    <t xml:space="preserve">142,000 509,000 3585 ± 264 MJ/t 16 HIGH 509,001 1,097,000 3468 ± 230 13 HIGH</t>
  </si>
  <si>
    <t xml:space="preserve">MOD-094</t>
  </si>
  <si>
    <t xml:space="preserve">A1/M3 «real global EnPI (Table 1, Global/Cement)»</t>
  </si>
  <si>
    <t xml:space="preserve">bounds: Cement production range 144,803–1,015,000 t</t>
  </si>
  <si>
    <t xml:space="preserve">144,803 566,000 3097 ± 220 MJ/t 18 HIGH 566,001 1,015,000 3320 ± 384 11 HIGH</t>
  </si>
  <si>
    <t xml:space="preserve">MOD-095</t>
  </si>
  <si>
    <t xml:space="preserve">A1/M4 «linear regression of site electric consumption (Table 2, Ele»</t>
  </si>
  <si>
    <t xml:space="preserve">bounds: Cement production range 145,000–1,015,000 t</t>
  </si>
  <si>
    <t xml:space="preserve">MOD-096</t>
  </si>
  <si>
    <t xml:space="preserve">A1/M5 «linear regression of site thermal consumption (Table 2, Ther»</t>
  </si>
  <si>
    <t xml:space="preserve">MOD-097</t>
  </si>
  <si>
    <t xml:space="preserve">A1/M6 «linear regression of site global energy consumption (Table 2»</t>
  </si>
  <si>
    <t xml:space="preserve">MOD-098</t>
  </si>
  <si>
    <t xml:space="preserve">A1/M7 «linear regression of electric consumption of raw material gr»</t>
  </si>
  <si>
    <t xml:space="preserve">bounds: Flour production range 219,000–1,733,000 t</t>
  </si>
  <si>
    <t xml:space="preserve">219,000 740,000 23.51 ± 5.71 kWh/t 15 MEDIUM 740,001 1,733,000 19.09 ± 4.70 11 MEDIUM</t>
  </si>
  <si>
    <t xml:space="preserve">MOD-099</t>
  </si>
  <si>
    <t xml:space="preserve">A1/M8 «linear regression of electric consumption of clinker cooking»</t>
  </si>
  <si>
    <t xml:space="preserve">bounds: Clinker production range 141,558–1,097,000 t</t>
  </si>
  <si>
    <t xml:space="preserve">141,558 597,000 31.84 ± 5.44 kWh/t 21 HIGH 597,001 1,097,000 28.36 ± 5.99 8 MEDIUM</t>
  </si>
  <si>
    <t xml:space="preserve">MOD-100</t>
  </si>
  <si>
    <t xml:space="preserve">A1/M9 «linear regression of electric consumption of clinker grindin»</t>
  </si>
  <si>
    <t xml:space="preserve">bounds: Cement production range 55,000–1,015,000 t</t>
  </si>
  <si>
    <t xml:space="preserve">55,000 1,015,000 41.51 ± 8.74 kWh/t 42 MEDIUM</t>
  </si>
  <si>
    <t xml:space="preserve">MOD-101</t>
  </si>
  <si>
    <t xml:space="preserve">A1/M10 «linear regression of thermal consumption of clinker cooking »</t>
  </si>
  <si>
    <t xml:space="preserve">141,558 1,097,000 3505 ± 247 MJ/t 29 HIGH</t>
  </si>
  <si>
    <t xml:space="preserve">MOD-102</t>
  </si>
  <si>
    <t xml:space="preserve">A1/M11 «real thermal EnPI of clinker cooking phase by number of cycl»</t>
  </si>
  <si>
    <t xml:space="preserve">bounds: Clinker production range 142,000–860,000 t (4 cyclones); 207,000–1,097,000 t (5 cyclones)</t>
  </si>
  <si>
    <t xml:space="preserve">4 142,000 860,000 3609 ± 291 MJ/t 11 HIGH 5 207,000 1,097,000 3431 ± 214 12 HIGH</t>
  </si>
  <si>
    <t xml:space="preserve">MOD-103</t>
  </si>
  <si>
    <t xml:space="preserve">The results are presented in Table I. As it can be observed, in both cases, the specific electricity use registered an ascending trend in the 2017-2018 period,</t>
  </si>
  <si>
    <t xml:space="preserve">MOD-104</t>
  </si>
  <si>
    <t xml:space="preserve">Table 1 shows the input and output data for producing 1 ton of aluminum by each decision-making unit (DMU).</t>
  </si>
  <si>
    <t xml:space="preserve">MOD-105</t>
  </si>
  <si>
    <t xml:space="preserve">A1/M1 «the nine Key Performance Indicators (KPIs) — Primary Energy »</t>
  </si>
  <si>
    <t xml:space="preserve">MOD-106</t>
  </si>
  <si>
    <t xml:space="preserve">MOD-107</t>
  </si>
  <si>
    <t xml:space="preserve">Through the platform, this is, at the present moment, the largest publicly available database of EE projects in Europe.</t>
  </si>
  <si>
    <t xml:space="preserve">MOD-110</t>
  </si>
  <si>
    <t xml:space="preserve">A1/M1 «the model with three basis functions (Eq. 29), load and ambi»</t>
  </si>
  <si>
    <t xml:space="preserve">The occurrence of signiﬁcant process modiﬁcations has to be taken into account when choosing the time interval for the determination of the BDP.</t>
  </si>
  <si>
    <t xml:space="preserve">MOD-114</t>
  </si>
  <si>
    <t xml:space="preserve">A1/M2 «the model after backward elimination (Eq. 30), plant load on»</t>
  </si>
  <si>
    <t xml:space="preserve">MOD-118</t>
  </si>
  <si>
    <t xml:space="preserve">A1/M3 «the model based only on the plant load (Eq. 34), clustered o»</t>
  </si>
  <si>
    <t xml:space="preserve">MOD-108</t>
  </si>
  <si>
    <t xml:space="preserve">the measurement data of the load and the total 5 bar steam consumption of the plant together with the ambient temperature with a sampling interval of one hour is collected.</t>
  </si>
  <si>
    <t xml:space="preserve">MOD-109</t>
  </si>
  <si>
    <t xml:space="preserve">MOD-112</t>
  </si>
  <si>
    <t xml:space="preserve">MOD-113</t>
  </si>
  <si>
    <t xml:space="preserve">MOD-116</t>
  </si>
  <si>
    <t xml:space="preserve">MOD-117</t>
  </si>
  <si>
    <t xml:space="preserve">MOD-120</t>
  </si>
  <si>
    <t xml:space="preserve">Due to the conﬁdentiality of the data, only the processed data are presented throughout this section.</t>
  </si>
  <si>
    <t xml:space="preserve">MOD-111</t>
  </si>
  <si>
    <t xml:space="preserve">bounds: Convex Hull of the input variables</t>
  </si>
  <si>
    <t xml:space="preserve">This method was used to calculate the validity bounds of the model. The model is trustworthy only for the operating points inside of the hull and its accuracy outside of the limits cannot be guaranteed.</t>
  </si>
  <si>
    <t xml:space="preserve">MOD-115</t>
  </si>
  <si>
    <t xml:space="preserve">bounds: minimum and maximum value of the percentile centers used in the model identification</t>
  </si>
  <si>
    <t xml:space="preserve">MOD-119</t>
  </si>
  <si>
    <t xml:space="preserve">MOD-121</t>
  </si>
  <si>
    <t xml:space="preserve">A1/M1 «the proposed leading EnPI / customised leading energy perfor»</t>
  </si>
  <si>
    <t xml:space="preserve">However, as the program progress, the Do and Check will be given the highest weight. Once the program is matured, the Act stage will obtain the highest weight in order to ensure continuous improvement is fully embraced by the concerned divisions.</t>
  </si>
  <si>
    <t xml:space="preserve">MOD-122</t>
  </si>
  <si>
    <t xml:space="preserve">A1/M1 «Log normal OLS (log-linear regression), Eq. (4)/(5)»</t>
  </si>
  <si>
    <t xml:space="preserve">three previously completed case studies, auto assembly, cement, and corn refining (see (Boyd 2005a, b, Boyd 2006, Boyd 2008) for detailed descriptions of the earlier models), began to be updated.</t>
  </si>
  <si>
    <t xml:space="preserve">MOD-123</t>
  </si>
  <si>
    <t xml:space="preserve">A1/M2 «stochastic frontier (SF) regression, Eq. (6)»</t>
  </si>
  <si>
    <t xml:space="preserve">MOD-124</t>
  </si>
  <si>
    <t xml:space="preserve">A1/M2 «kWhe CAS/t»</t>
  </si>
  <si>
    <t xml:space="preserve">bounds: —</t>
  </si>
  <si>
    <t xml:space="preserve">MOD-125</t>
  </si>
  <si>
    <t xml:space="preserve">A1/M3 «kWhe CAS / m3»</t>
  </si>
  <si>
    <t xml:space="preserve">MOD-126</t>
  </si>
  <si>
    <t xml:space="preserve">A1/M4 «linear regression with the data relative to the measured qua»</t>
  </si>
  <si>
    <t xml:space="preserve">MOD-127</t>
  </si>
  <si>
    <t xml:space="preserve">A1/M1 «the updated EPI / new model (Eq. (1))»</t>
  </si>
  <si>
    <t xml:space="preserve">MOD-128</t>
  </si>
  <si>
    <t xml:space="preserve">A1/M2 «the original 1997 EPI / old model (Eq. (2))»</t>
  </si>
  <si>
    <t xml:space="preserve">MOD-129</t>
  </si>
  <si>
    <t xml:space="preserve">A1/M1 «The regression model of SCPU»</t>
  </si>
  <si>
    <t xml:space="preserve">vetor: other</t>
  </si>
  <si>
    <t xml:space="preserve">Many variables are measured and collected in the PU.</t>
  </si>
  <si>
    <t xml:space="preserve">MOD-130</t>
  </si>
  <si>
    <t xml:space="preserve">MOD-131</t>
  </si>
  <si>
    <t xml:space="preserve">MOD-132</t>
  </si>
  <si>
    <t xml:space="preserve">Itens T1</t>
  </si>
  <si>
    <t xml:space="preserve">Minutos (preencher)</t>
  </si>
  <si>
    <t xml:space="preserve">Min/item</t>
  </si>
</sst>
</file>

<file path=xl/styles.xml><?xml version="1.0" encoding="utf-8"?>
<styleSheet xmlns="http://schemas.openxmlformats.org/spreadsheetml/2006/main">
  <numFmts count="3">
    <numFmt numFmtId="164" formatCode="General"/>
    <numFmt numFmtId="165" formatCode="0%"/>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9"/>
      <name val="Arial"/>
      <family val="0"/>
      <charset val="1"/>
    </font>
    <font>
      <b val="true"/>
      <sz val="12"/>
      <name val="Arial"/>
      <family val="0"/>
      <charset val="1"/>
    </font>
    <font>
      <b val="true"/>
      <sz val="9"/>
      <color rgb="FFFFFFFF"/>
      <name val="Arial"/>
      <family val="0"/>
      <charset val="1"/>
    </font>
    <font>
      <b val="true"/>
      <sz val="9"/>
      <name val="Arial"/>
      <family val="0"/>
      <charset val="1"/>
    </font>
    <font>
      <sz val="9"/>
      <color rgb="FF0000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FE066"/>
        <bgColor rgb="FFFFB366"/>
      </patternFill>
    </fill>
    <fill>
      <patternFill patternType="solid">
        <fgColor rgb="FFFFF2CC"/>
        <bgColor rgb="FFFFFFFF"/>
      </patternFill>
    </fill>
    <fill>
      <patternFill patternType="solid">
        <fgColor rgb="FF9CCBFF"/>
        <bgColor rgb="FFCCCCFF"/>
      </patternFill>
    </fill>
    <fill>
      <patternFill patternType="solid">
        <fgColor rgb="FF9EDB9E"/>
        <bgColor rgb="FFBFBFBF"/>
      </patternFill>
    </fill>
    <fill>
      <patternFill patternType="solid">
        <fgColor rgb="FFFFB366"/>
        <bgColor rgb="FFF4B183"/>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9CCBFF"/>
          <bgColor rgb="FF000000"/>
        </patternFill>
      </fill>
    </dxf>
    <dxf>
      <fill>
        <patternFill patternType="solid">
          <fgColor rgb="FFFFE066"/>
          <bgColor rgb="FF000000"/>
        </patternFill>
      </fill>
    </dxf>
    <dxf>
      <fill>
        <patternFill patternType="solid">
          <fgColor rgb="FFFFF2CC"/>
          <bgColor rgb="FF000000"/>
        </patternFill>
      </fill>
    </dxf>
    <dxf>
      <font>
        <b val="1"/>
      </font>
      <fill>
        <patternFill>
          <bgColor rgb="FFF4B183"/>
        </patternFill>
      </fill>
    </dxf>
    <dxf>
      <fill>
        <patternFill patternType="solid">
          <fgColor rgb="FF9EDB9E"/>
          <bgColor rgb="FF000000"/>
        </patternFill>
      </fill>
    </dxf>
    <dxf>
      <fill>
        <patternFill patternType="solid">
          <fgColor rgb="FFFFB36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9EDB9E"/>
      <rgbColor rgb="FFFFE066"/>
      <rgbColor rgb="FF9CCBFF"/>
      <rgbColor rgb="FFFF99CC"/>
      <rgbColor rgb="FFCC99FF"/>
      <rgbColor rgb="FFF4B183"/>
      <rgbColor rgb="FF3366FF"/>
      <rgbColor rgb="FF33CCCC"/>
      <rgbColor rgb="FF99CC00"/>
      <rgbColor rgb="FFFFB36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22.3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2.35" hidden="false" customHeight="false" outlineLevel="0" collapsed="false">
      <c r="A9" s="2" t="s">
        <v>6</v>
      </c>
    </row>
    <row r="10" customFormat="false" ht="22.3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1" t="s">
        <v>12</v>
      </c>
    </row>
    <row r="17" customFormat="false" ht="22.3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1" t="s">
        <v>14</v>
      </c>
    </row>
    <row r="20" customFormat="false" ht="22.35" hidden="false" customHeight="false" outlineLevel="0" collapsed="false">
      <c r="A20" s="2" t="s">
        <v>15</v>
      </c>
    </row>
    <row r="21" customFormat="false" ht="22.3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22.35" hidden="false" customHeight="false" outlineLevel="0" collapsed="false">
      <c r="A24" s="2" t="s">
        <v>19</v>
      </c>
    </row>
    <row r="25" customFormat="false" ht="22.35" hidden="false" customHeight="false" outlineLevel="0" collapsed="false">
      <c r="A25" s="2" t="s">
        <v>20</v>
      </c>
    </row>
    <row r="26" customFormat="false" ht="15" hidden="false" customHeight="false" outlineLevel="0" collapsed="false">
      <c r="A26" s="2" t="s">
        <v>21</v>
      </c>
    </row>
    <row r="27" customFormat="false" ht="22.35" hidden="false" customHeight="false" outlineLevel="0" collapsed="false">
      <c r="A27" s="2" t="s">
        <v>22</v>
      </c>
    </row>
    <row r="28" customFormat="false" ht="15" hidden="false" customHeight="false" outlineLevel="0" collapsed="false">
      <c r="A28" s="2"/>
    </row>
    <row r="29" customFormat="false" ht="15" hidden="false" customHeight="false" outlineLevel="0" collapsed="false">
      <c r="A29" s="2"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
    <col collapsed="false" customWidth="true" hidden="false" outlineLevel="0" max="3" min="3" style="0" width="7"/>
    <col collapsed="false" customWidth="true" hidden="false" outlineLevel="0" max="4" min="4" style="0" width="11"/>
    <col collapsed="false" customWidth="true" hidden="false" outlineLevel="0" max="5" min="5" style="0" width="12"/>
    <col collapsed="false" customWidth="true" hidden="false" outlineLevel="0" max="6" min="6" style="0" width="16"/>
    <col collapsed="false" customWidth="true" hidden="false" outlineLevel="0" max="7" min="7" style="0" width="18"/>
    <col collapsed="false" customWidth="true" hidden="false" outlineLevel="0" max="8" min="8" style="0" width="20"/>
  </cols>
  <sheetData>
    <row r="1" customFormat="false" ht="15" hidden="false" customHeight="false" outlineLevel="0" collapsed="false">
      <c r="A1" s="3" t="s">
        <v>24</v>
      </c>
    </row>
    <row r="3" customFormat="false" ht="22.35" hidden="false" customHeight="false" outlineLevel="0" collapsed="false">
      <c r="A3" s="4" t="s">
        <v>25</v>
      </c>
      <c r="B3" s="4" t="s">
        <v>26</v>
      </c>
      <c r="C3" s="4" t="s">
        <v>27</v>
      </c>
      <c r="D3" s="4" t="s">
        <v>28</v>
      </c>
      <c r="E3" s="4" t="s">
        <v>29</v>
      </c>
      <c r="F3" s="4" t="s">
        <v>30</v>
      </c>
      <c r="G3" s="4" t="s">
        <v>31</v>
      </c>
      <c r="H3" s="4" t="s">
        <v>32</v>
      </c>
    </row>
    <row r="4" customFormat="false" ht="15" hidden="false" customHeight="false" outlineLevel="0" collapsed="false">
      <c r="A4" s="5" t="s">
        <v>33</v>
      </c>
      <c r="B4" s="5" t="s">
        <v>34</v>
      </c>
      <c r="C4" s="5" t="n">
        <f aca="false">COUNTIF(MEC!$B$2:$B$146,"T1")</f>
        <v>72</v>
      </c>
      <c r="D4" s="5" t="n">
        <f aca="false">COUNTIFS(MEC!$B$2:$B$146,"T1",MEC!$R$2:$R$146,"S")</f>
        <v>0</v>
      </c>
      <c r="E4" s="6" t="n">
        <f aca="false">IF(C4=0,"",D4/C4)</f>
        <v>0</v>
      </c>
      <c r="F4" s="5" t="n">
        <f aca="false">SUMPRODUCT((MEC!$B$2:$B$146="T1")*(((MEC!$M$2:$M$146&lt;&gt;MEC!$S$2:$S$146)+(MEC!$N$2:$N$146&lt;&gt;MEC!$T$2:$T$146)+(MEC!$O$2:$O$146&lt;&gt;MEC!$U$2:$U$146))&gt;0))</f>
        <v>0</v>
      </c>
      <c r="G4" s="5" t="n">
        <f aca="false">COUNTIFS(MEC!$B$2:$B$146,"T1",MEC!$L$2:$L$146,"N")</f>
        <v>0</v>
      </c>
      <c r="H4" s="5" t="n">
        <f aca="false">COUNTIFS(MEC!$B$2:$B$146,"T1",MEC!$P$2:$P$146,"N*")</f>
        <v>0</v>
      </c>
    </row>
    <row r="5" customFormat="false" ht="15" hidden="false" customHeight="false" outlineLevel="0" collapsed="false">
      <c r="A5" s="5" t="s">
        <v>33</v>
      </c>
      <c r="B5" s="5" t="s">
        <v>35</v>
      </c>
      <c r="C5" s="5" t="n">
        <f aca="false">COUNTIF(MEC!$B$2:$B$146,"T2")</f>
        <v>73</v>
      </c>
      <c r="D5" s="5" t="n">
        <f aca="false">COUNTIFS(MEC!$B$2:$B$146,"T2",MEC!$R$2:$R$146,"S")</f>
        <v>0</v>
      </c>
      <c r="E5" s="6" t="n">
        <f aca="false">IF(C5=0,"",D5/C5)</f>
        <v>0</v>
      </c>
      <c r="F5" s="5" t="n">
        <f aca="false">SUMPRODUCT((MEC!$B$2:$B$146="T2")*(((MEC!$M$2:$M$146&lt;&gt;MEC!$S$2:$S$146)+(MEC!$N$2:$N$146&lt;&gt;MEC!$T$2:$T$146)+(MEC!$O$2:$O$146&lt;&gt;MEC!$U$2:$U$146))&gt;0))</f>
        <v>0</v>
      </c>
      <c r="G5" s="5" t="n">
        <f aca="false">COUNTIFS(MEC!$B$2:$B$146,"T2",MEC!$L$2:$L$146,"N")</f>
        <v>0</v>
      </c>
      <c r="H5" s="5" t="n">
        <f aca="false">COUNTIFS(MEC!$B$2:$B$146,"T2",MEC!$P$2:$P$146,"N*")</f>
        <v>0</v>
      </c>
    </row>
    <row r="6" customFormat="false" ht="15" hidden="false" customHeight="false" outlineLevel="0" collapsed="false">
      <c r="A6" s="5" t="s">
        <v>36</v>
      </c>
      <c r="B6" s="5" t="s">
        <v>34</v>
      </c>
      <c r="C6" s="5" t="n">
        <f aca="false">COUNTIF(ADP!$B$2:$B$92,"T1")</f>
        <v>43</v>
      </c>
      <c r="D6" s="5" t="n">
        <f aca="false">COUNTIFS(ADP!$B$2:$B$92,"T1",ADP!$T$2:$T$92,"S")</f>
        <v>0</v>
      </c>
      <c r="E6" s="6" t="n">
        <f aca="false">IF(C6=0,"",D6/C6)</f>
        <v>0</v>
      </c>
      <c r="F6" s="5" t="n">
        <f aca="false">SUMPRODUCT((ADP!$B$2:$B$92="T1")*(((ADP!$N$2:$N$92&lt;&gt;ADP!$U$2:$U$92)+(ADP!$O$2:$O$92&lt;&gt;ADP!$V$2:$V$92)+(ADP!$P$2:$P$92&lt;&gt;ADP!$W$2:$W$92)+(ADP!$Q$2:$Q$92&lt;&gt;ADP!$X$2:$X$92))&gt;0))</f>
        <v>0</v>
      </c>
      <c r="G6" s="5" t="n">
        <f aca="false">COUNTIFS(ADP!$B$2:$B$92,"T1",ADP!$M$2:$M$92,"N")</f>
        <v>0</v>
      </c>
      <c r="H6" s="5" t="n">
        <f aca="false">COUNTIFS(ADP!$B$2:$B$92,"T1",ADP!$R$2:$R$92,"N*")</f>
        <v>0</v>
      </c>
    </row>
    <row r="7" customFormat="false" ht="15" hidden="false" customHeight="false" outlineLevel="0" collapsed="false">
      <c r="A7" s="5" t="s">
        <v>36</v>
      </c>
      <c r="B7" s="5" t="s">
        <v>37</v>
      </c>
      <c r="C7" s="5" t="n">
        <f aca="false">COUNTIF(ADP!$B$2:$B$92,"T3")</f>
        <v>48</v>
      </c>
      <c r="D7" s="5" t="n">
        <f aca="false">COUNTIFS(ADP!$B$2:$B$92,"T3",ADP!$T$2:$T$92,"S")</f>
        <v>0</v>
      </c>
      <c r="E7" s="6" t="n">
        <f aca="false">IF(C7=0,"",D7/C7)</f>
        <v>0</v>
      </c>
      <c r="F7" s="5" t="n">
        <f aca="false">SUMPRODUCT((ADP!$B$2:$B$92="T3")*(((ADP!$N$2:$N$92&lt;&gt;ADP!$U$2:$U$92)+(ADP!$O$2:$O$92&lt;&gt;ADP!$V$2:$V$92)+(ADP!$P$2:$P$92&lt;&gt;ADP!$W$2:$W$92)+(ADP!$Q$2:$Q$92&lt;&gt;ADP!$X$2:$X$92))&gt;0))</f>
        <v>0</v>
      </c>
      <c r="G7" s="5" t="n">
        <f aca="false">COUNTIFS(ADP!$B$2:$B$92,"T3",ADP!$M$2:$M$92,"N")</f>
        <v>0</v>
      </c>
      <c r="H7" s="5" t="n">
        <f aca="false">COUNTIFS(ADP!$B$2:$B$92,"T3",ADP!$R$2:$R$92,"N*")</f>
        <v>0</v>
      </c>
    </row>
    <row r="8" customFormat="false" ht="15" hidden="false" customHeight="false" outlineLevel="0" collapsed="false">
      <c r="A8" s="5" t="s">
        <v>38</v>
      </c>
      <c r="B8" s="5" t="s">
        <v>34</v>
      </c>
      <c r="C8" s="5" t="n">
        <f aca="false">COUNTIF(MODELOS!$B$2:$B$133,"T1")</f>
        <v>103</v>
      </c>
      <c r="D8" s="5" t="n">
        <f aca="false">COUNTIFS(MODELOS!$B$2:$B$133,"T1",MODELOS!$P$2:$P$133,"S")</f>
        <v>0</v>
      </c>
      <c r="E8" s="6" t="n">
        <f aca="false">IF(C8=0,"",D8/C8)</f>
        <v>0</v>
      </c>
      <c r="F8" s="5" t="n">
        <f aca="false">SUMPRODUCT((MODELOS!$B$2:$B$133="T1")*(((MODELOS!$N$2:$N$133&lt;&gt;MODELOS!$Q$2:$Q$133))&gt;0))</f>
        <v>0</v>
      </c>
      <c r="G8" s="5" t="n">
        <f aca="false">COUNTIFS(MODELOS!$B$2:$B$133,"T1",MODELOS!$M$2:$M$133,"N")</f>
        <v>0</v>
      </c>
      <c r="H8" s="5" t="s">
        <v>39</v>
      </c>
    </row>
    <row r="9" customFormat="false" ht="15" hidden="false" customHeight="false" outlineLevel="0" collapsed="false">
      <c r="A9" s="5" t="s">
        <v>38</v>
      </c>
      <c r="B9" s="5" t="s">
        <v>40</v>
      </c>
      <c r="C9" s="5" t="n">
        <f aca="false">COUNTIF(MODELOS!$B$2:$B$133,"T4")</f>
        <v>29</v>
      </c>
      <c r="D9" s="5" t="n">
        <f aca="false">COUNTIFS(MODELOS!$B$2:$B$133,"T4",MODELOS!$P$2:$P$133,"S")</f>
        <v>0</v>
      </c>
      <c r="E9" s="6" t="n">
        <f aca="false">IF(C9=0,"",D9/C9)</f>
        <v>0</v>
      </c>
      <c r="F9" s="5" t="n">
        <f aca="false">SUMPRODUCT((MODELOS!$B$2:$B$133="T4")*(((MODELOS!$N$2:$N$133&lt;&gt;MODELOS!$Q$2:$Q$133))&gt;0))</f>
        <v>0</v>
      </c>
      <c r="G9" s="5" t="n">
        <f aca="false">COUNTIFS(MODELOS!$B$2:$B$133,"T4",MODELOS!$M$2:$M$133,"N")</f>
        <v>0</v>
      </c>
      <c r="H9" s="5" t="s">
        <v>39</v>
      </c>
    </row>
    <row r="10" customFormat="false" ht="15" hidden="false" customHeight="false" outlineLevel="0" collapsed="false">
      <c r="A10" s="7" t="s">
        <v>41</v>
      </c>
      <c r="C10" s="7" t="n">
        <f aca="false">SUM(C4:C9)</f>
        <v>368</v>
      </c>
      <c r="D10" s="7" t="n">
        <f aca="false">SUM(D4:D9)</f>
        <v>0</v>
      </c>
      <c r="E10" s="8" t="n">
        <f aca="false">IF(C10=0,"",D10/C10)</f>
        <v>0</v>
      </c>
      <c r="F10" s="7" t="n">
        <f aca="false">SUM(F4:F9)</f>
        <v>0</v>
      </c>
      <c r="G10" s="7" t="n">
        <f aca="false">SUM(G4:G9)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42</v>
      </c>
      <c r="B1" s="0" t="s">
        <v>43</v>
      </c>
      <c r="C1" s="0" t="s">
        <v>44</v>
      </c>
      <c r="D1" s="0" t="s">
        <v>45</v>
      </c>
      <c r="E1" s="0" t="s">
        <v>46</v>
      </c>
      <c r="F1" s="0" t="s">
        <v>47</v>
      </c>
      <c r="G1" s="0" t="s">
        <v>48</v>
      </c>
      <c r="H1" s="0" t="s">
        <v>49</v>
      </c>
      <c r="I1" s="0" t="s">
        <v>50</v>
      </c>
      <c r="J1" s="0" t="s">
        <v>51</v>
      </c>
      <c r="K1" s="0" t="s">
        <v>52</v>
      </c>
      <c r="L1" s="0" t="s">
        <v>53</v>
      </c>
      <c r="M1" s="0" t="s">
        <v>54</v>
      </c>
      <c r="N1" s="0" t="s">
        <v>55</v>
      </c>
      <c r="O1" s="0" t="s">
        <v>56</v>
      </c>
    </row>
    <row r="2" customFormat="false" ht="15" hidden="false" customHeight="false" outlineLevel="0" collapsed="false">
      <c r="A2" s="0" t="s">
        <v>57</v>
      </c>
      <c r="B2" s="0" t="s">
        <v>58</v>
      </c>
      <c r="C2" s="0" t="s">
        <v>59</v>
      </c>
      <c r="D2" s="0" t="s">
        <v>60</v>
      </c>
      <c r="E2" s="0" t="s">
        <v>61</v>
      </c>
      <c r="F2" s="0" t="s">
        <v>62</v>
      </c>
      <c r="G2" s="0" t="s">
        <v>63</v>
      </c>
      <c r="H2" s="0" t="s">
        <v>64</v>
      </c>
      <c r="I2" s="0" t="s">
        <v>65</v>
      </c>
      <c r="J2" s="0" t="s">
        <v>66</v>
      </c>
      <c r="K2" s="0" t="s">
        <v>67</v>
      </c>
      <c r="L2" s="0" t="s">
        <v>68</v>
      </c>
      <c r="M2" s="0" t="s">
        <v>69</v>
      </c>
      <c r="N2" s="0" t="s">
        <v>69</v>
      </c>
      <c r="O2" s="0" t="s">
        <v>69</v>
      </c>
    </row>
    <row r="3" customFormat="false" ht="15" hidden="false" customHeight="false" outlineLevel="0" collapsed="false">
      <c r="A3" s="0" t="s">
        <v>70</v>
      </c>
      <c r="B3" s="0" t="s">
        <v>71</v>
      </c>
      <c r="C3" s="0" t="s">
        <v>72</v>
      </c>
      <c r="D3" s="0" t="s">
        <v>73</v>
      </c>
      <c r="E3" s="0" t="s">
        <v>74</v>
      </c>
      <c r="F3" s="0" t="s">
        <v>75</v>
      </c>
      <c r="G3" s="0" t="s">
        <v>76</v>
      </c>
      <c r="H3" s="0" t="s">
        <v>77</v>
      </c>
      <c r="I3" s="0" t="s">
        <v>78</v>
      </c>
      <c r="J3" s="0" t="s">
        <v>79</v>
      </c>
      <c r="K3" s="0" t="s">
        <v>80</v>
      </c>
      <c r="L3" s="0" t="s">
        <v>81</v>
      </c>
      <c r="M3" s="0" t="s">
        <v>82</v>
      </c>
      <c r="N3" s="0" t="s">
        <v>83</v>
      </c>
    </row>
    <row r="4" customFormat="false" ht="15" hidden="false" customHeight="false" outlineLevel="0" collapsed="false">
      <c r="A4" s="0" t="s">
        <v>84</v>
      </c>
      <c r="B4" s="0" t="s">
        <v>85</v>
      </c>
      <c r="C4" s="0" t="s">
        <v>86</v>
      </c>
      <c r="D4" s="0" t="s">
        <v>87</v>
      </c>
      <c r="E4" s="0" t="s">
        <v>88</v>
      </c>
      <c r="F4" s="0" t="s">
        <v>89</v>
      </c>
      <c r="G4" s="0" t="s">
        <v>90</v>
      </c>
      <c r="H4" s="0" t="s">
        <v>91</v>
      </c>
      <c r="I4" s="0" t="s">
        <v>92</v>
      </c>
      <c r="J4" s="0" t="s">
        <v>65</v>
      </c>
      <c r="K4" s="0" t="s">
        <v>93</v>
      </c>
      <c r="L4" s="0" t="s">
        <v>94</v>
      </c>
      <c r="N4" s="0" t="s">
        <v>95</v>
      </c>
    </row>
    <row r="5" customFormat="false" ht="15" hidden="false" customHeight="false" outlineLevel="0" collapsed="false">
      <c r="A5" s="0" t="s">
        <v>96</v>
      </c>
      <c r="B5" s="0" t="s">
        <v>97</v>
      </c>
      <c r="D5" s="0" t="s">
        <v>98</v>
      </c>
      <c r="G5" s="0" t="s">
        <v>99</v>
      </c>
      <c r="H5" s="0" t="s">
        <v>100</v>
      </c>
      <c r="I5" s="0" t="s">
        <v>101</v>
      </c>
      <c r="L5" s="0" t="s">
        <v>80</v>
      </c>
      <c r="N5" s="0" t="s">
        <v>102</v>
      </c>
    </row>
    <row r="6" customFormat="false" ht="15" hidden="false" customHeight="false" outlineLevel="0" collapsed="false">
      <c r="A6" s="0" t="s">
        <v>103</v>
      </c>
      <c r="B6" s="0" t="s">
        <v>104</v>
      </c>
      <c r="D6" s="0" t="s">
        <v>105</v>
      </c>
      <c r="G6" s="0" t="s">
        <v>106</v>
      </c>
      <c r="H6" s="0" t="s">
        <v>80</v>
      </c>
      <c r="I6" s="0" t="s">
        <v>107</v>
      </c>
      <c r="L6" s="0" t="s">
        <v>93</v>
      </c>
    </row>
    <row r="7" customFormat="false" ht="15" hidden="false" customHeight="false" outlineLevel="0" collapsed="false">
      <c r="A7" s="0" t="s">
        <v>108</v>
      </c>
      <c r="B7" s="0" t="s">
        <v>109</v>
      </c>
      <c r="D7" s="0" t="s">
        <v>110</v>
      </c>
      <c r="G7" s="0" t="s">
        <v>111</v>
      </c>
      <c r="I7" s="0" t="s">
        <v>60</v>
      </c>
    </row>
    <row r="8" customFormat="false" ht="15" hidden="false" customHeight="false" outlineLevel="0" collapsed="false">
      <c r="A8" s="0" t="s">
        <v>112</v>
      </c>
      <c r="B8" s="0" t="s">
        <v>113</v>
      </c>
      <c r="D8" s="0" t="s">
        <v>114</v>
      </c>
      <c r="G8" s="0" t="s">
        <v>115</v>
      </c>
      <c r="I8" s="0" t="s">
        <v>116</v>
      </c>
    </row>
    <row r="9" customFormat="false" ht="15" hidden="false" customHeight="false" outlineLevel="0" collapsed="false">
      <c r="A9" s="0" t="s">
        <v>117</v>
      </c>
      <c r="B9" s="0" t="s">
        <v>118</v>
      </c>
      <c r="D9" s="0" t="s">
        <v>119</v>
      </c>
      <c r="G9" s="0" t="s">
        <v>80</v>
      </c>
    </row>
    <row r="10" customFormat="false" ht="15" hidden="false" customHeight="false" outlineLevel="0" collapsed="false">
      <c r="A10" s="0" t="s">
        <v>120</v>
      </c>
      <c r="B10" s="0" t="s">
        <v>121</v>
      </c>
      <c r="D10" s="0" t="s">
        <v>122</v>
      </c>
    </row>
    <row r="11" customFormat="false" ht="15" hidden="false" customHeight="false" outlineLevel="0" collapsed="false">
      <c r="A11" s="0" t="s">
        <v>123</v>
      </c>
      <c r="B11" s="0" t="s">
        <v>124</v>
      </c>
      <c r="D11" s="0" t="s">
        <v>125</v>
      </c>
    </row>
    <row r="12" customFormat="false" ht="15" hidden="false" customHeight="false" outlineLevel="0" collapsed="false">
      <c r="A12" s="0" t="s">
        <v>126</v>
      </c>
      <c r="B12" s="0" t="s">
        <v>65</v>
      </c>
      <c r="D12" s="0" t="s">
        <v>124</v>
      </c>
    </row>
    <row r="13" customFormat="false" ht="15" hidden="false" customHeight="false" outlineLevel="0" collapsed="false">
      <c r="A13" s="0" t="s">
        <v>124</v>
      </c>
    </row>
    <row r="14" customFormat="false" ht="15" hidden="false" customHeight="false" outlineLevel="0" collapsed="false">
      <c r="A14" s="0"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
    <col collapsed="false" customWidth="true" hidden="false" outlineLevel="0" max="4" min="3" style="0" width="16"/>
    <col collapsed="false" customWidth="true" hidden="false" outlineLevel="0" max="5" min="5" style="0" width="5"/>
    <col collapsed="false" customWidth="true" hidden="false" outlineLevel="0" max="6" min="6" style="0" width="9"/>
    <col collapsed="false" customWidth="true" hidden="false" outlineLevel="0" max="7" min="7" style="0" width="10"/>
    <col collapsed="false" customWidth="true" hidden="false" outlineLevel="0" max="8" min="8" style="0" width="60"/>
    <col collapsed="false" customWidth="true" hidden="false" outlineLevel="0" max="9" min="9" style="0" width="11"/>
    <col collapsed="false" customWidth="true" hidden="false" outlineLevel="0" max="10" min="10" style="0" width="24"/>
    <col collapsed="false" customWidth="true" hidden="false" outlineLevel="0" max="11" min="11" style="0" width="11"/>
    <col collapsed="false" customWidth="true" hidden="false" outlineLevel="0" max="12" min="12" style="0" width="9"/>
    <col collapsed="false" customWidth="true" hidden="false" outlineLevel="0" max="13" min="13" style="0" width="26"/>
    <col collapsed="false" customWidth="true" hidden="false" outlineLevel="0" max="14" min="14" style="0" width="22"/>
    <col collapsed="false" customWidth="true" hidden="false" outlineLevel="0" max="15" min="15" style="0" width="18"/>
    <col collapsed="false" customWidth="true" hidden="false" outlineLevel="0" max="16" min="16" style="0" width="14"/>
    <col collapsed="false" customWidth="true" hidden="false" outlineLevel="0" max="17" min="17" style="0" width="30"/>
    <col collapsed="false" customWidth="true" hidden="false" outlineLevel="0" max="18" min="18" style="0" width="8"/>
    <col collapsed="false" customWidth="true" hidden="true" outlineLevel="0" max="21" min="19" style="0" width="13"/>
  </cols>
  <sheetData>
    <row r="1" customFormat="false" ht="43.25" hidden="false" customHeight="false" outlineLevel="0" collapsed="false">
      <c r="A1" s="4" t="s">
        <v>127</v>
      </c>
      <c r="B1" s="4" t="s">
        <v>26</v>
      </c>
      <c r="C1" s="4" t="s">
        <v>128</v>
      </c>
      <c r="D1" s="4" t="s">
        <v>129</v>
      </c>
      <c r="E1" s="4" t="s">
        <v>130</v>
      </c>
      <c r="F1" s="4" t="s">
        <v>131</v>
      </c>
      <c r="G1" s="4" t="s">
        <v>132</v>
      </c>
      <c r="H1" s="4" t="s">
        <v>133</v>
      </c>
      <c r="I1" s="4" t="s">
        <v>134</v>
      </c>
      <c r="J1" s="4" t="s">
        <v>135</v>
      </c>
      <c r="K1" s="4" t="s">
        <v>136</v>
      </c>
      <c r="L1" s="4" t="s">
        <v>137</v>
      </c>
      <c r="M1" s="4" t="s">
        <v>138</v>
      </c>
      <c r="N1" s="4" t="s">
        <v>139</v>
      </c>
      <c r="O1" s="4" t="s">
        <v>140</v>
      </c>
      <c r="P1" s="4" t="s">
        <v>141</v>
      </c>
      <c r="Q1" s="4" t="s">
        <v>142</v>
      </c>
      <c r="R1" s="4" t="s">
        <v>143</v>
      </c>
      <c r="S1" s="4" t="s">
        <v>144</v>
      </c>
      <c r="T1" s="4" t="s">
        <v>145</v>
      </c>
      <c r="U1" s="4" t="s">
        <v>146</v>
      </c>
    </row>
    <row r="2" customFormat="false" ht="53.7" hidden="false" customHeight="false" outlineLevel="0" collapsed="false">
      <c r="A2" s="9" t="s">
        <v>147</v>
      </c>
      <c r="B2" s="10" t="s">
        <v>34</v>
      </c>
      <c r="C2" s="9" t="s">
        <v>148</v>
      </c>
      <c r="D2" s="9" t="s">
        <v>149</v>
      </c>
      <c r="E2" s="9" t="n">
        <v>4</v>
      </c>
      <c r="F2" s="9"/>
      <c r="G2" s="9" t="s">
        <v>150</v>
      </c>
      <c r="H2" s="9" t="s">
        <v>151</v>
      </c>
      <c r="I2" s="9" t="s">
        <v>152</v>
      </c>
      <c r="J2" s="9" t="s">
        <v>153</v>
      </c>
      <c r="K2" s="9" t="s">
        <v>154</v>
      </c>
      <c r="L2" s="11"/>
      <c r="M2" s="11" t="s">
        <v>124</v>
      </c>
      <c r="N2" s="11" t="s">
        <v>65</v>
      </c>
      <c r="O2" s="11" t="s">
        <v>72</v>
      </c>
      <c r="P2" s="11"/>
      <c r="Q2" s="11"/>
      <c r="R2" s="11"/>
      <c r="S2" s="9" t="s">
        <v>124</v>
      </c>
      <c r="T2" s="9" t="s">
        <v>65</v>
      </c>
      <c r="U2" s="9" t="s">
        <v>72</v>
      </c>
    </row>
    <row r="3" customFormat="false" ht="43.25" hidden="false" customHeight="false" outlineLevel="0" collapsed="false">
      <c r="A3" s="9" t="s">
        <v>155</v>
      </c>
      <c r="B3" s="10" t="s">
        <v>34</v>
      </c>
      <c r="C3" s="9" t="s">
        <v>148</v>
      </c>
      <c r="D3" s="9" t="s">
        <v>149</v>
      </c>
      <c r="E3" s="9" t="n">
        <v>4</v>
      </c>
      <c r="F3" s="9"/>
      <c r="G3" s="9" t="s">
        <v>156</v>
      </c>
      <c r="H3" s="9" t="s">
        <v>157</v>
      </c>
      <c r="I3" s="9" t="s">
        <v>152</v>
      </c>
      <c r="J3" s="9" t="s">
        <v>158</v>
      </c>
      <c r="K3" s="9" t="s">
        <v>154</v>
      </c>
      <c r="L3" s="11"/>
      <c r="M3" s="11" t="s">
        <v>124</v>
      </c>
      <c r="N3" s="11" t="s">
        <v>65</v>
      </c>
      <c r="O3" s="11" t="s">
        <v>72</v>
      </c>
      <c r="P3" s="11"/>
      <c r="Q3" s="11"/>
      <c r="R3" s="11"/>
      <c r="S3" s="9" t="s">
        <v>124</v>
      </c>
      <c r="T3" s="9" t="s">
        <v>65</v>
      </c>
      <c r="U3" s="9" t="s">
        <v>72</v>
      </c>
    </row>
    <row r="4" customFormat="false" ht="53.7" hidden="false" customHeight="false" outlineLevel="0" collapsed="false">
      <c r="A4" s="9" t="s">
        <v>159</v>
      </c>
      <c r="B4" s="10" t="s">
        <v>34</v>
      </c>
      <c r="C4" s="9" t="s">
        <v>148</v>
      </c>
      <c r="D4" s="9" t="s">
        <v>149</v>
      </c>
      <c r="E4" s="9" t="n">
        <v>7</v>
      </c>
      <c r="F4" s="9"/>
      <c r="G4" s="9" t="s">
        <v>160</v>
      </c>
      <c r="H4" s="9" t="s">
        <v>161</v>
      </c>
      <c r="I4" s="9" t="s">
        <v>152</v>
      </c>
      <c r="J4" s="9" t="s">
        <v>162</v>
      </c>
      <c r="K4" s="9" t="s">
        <v>154</v>
      </c>
      <c r="L4" s="11"/>
      <c r="M4" s="11" t="s">
        <v>124</v>
      </c>
      <c r="N4" s="11" t="s">
        <v>65</v>
      </c>
      <c r="O4" s="11" t="s">
        <v>86</v>
      </c>
      <c r="P4" s="11"/>
      <c r="Q4" s="11"/>
      <c r="R4" s="11"/>
      <c r="S4" s="9" t="s">
        <v>124</v>
      </c>
      <c r="T4" s="9" t="s">
        <v>65</v>
      </c>
      <c r="U4" s="9" t="s">
        <v>86</v>
      </c>
    </row>
    <row r="5" customFormat="false" ht="32.8" hidden="false" customHeight="false" outlineLevel="0" collapsed="false">
      <c r="A5" s="9" t="s">
        <v>163</v>
      </c>
      <c r="B5" s="10" t="s">
        <v>34</v>
      </c>
      <c r="C5" s="9" t="s">
        <v>148</v>
      </c>
      <c r="D5" s="9" t="s">
        <v>149</v>
      </c>
      <c r="E5" s="9" t="n">
        <v>11</v>
      </c>
      <c r="F5" s="9"/>
      <c r="G5" s="9" t="s">
        <v>164</v>
      </c>
      <c r="H5" s="9" t="s">
        <v>165</v>
      </c>
      <c r="I5" s="9" t="s">
        <v>152</v>
      </c>
      <c r="J5" s="9"/>
      <c r="K5" s="9" t="s">
        <v>154</v>
      </c>
      <c r="L5" s="11"/>
      <c r="M5" s="11" t="s">
        <v>126</v>
      </c>
      <c r="N5" s="11" t="s">
        <v>65</v>
      </c>
      <c r="O5" s="11" t="s">
        <v>72</v>
      </c>
      <c r="P5" s="11"/>
      <c r="Q5" s="11"/>
      <c r="R5" s="11"/>
      <c r="S5" s="9" t="s">
        <v>126</v>
      </c>
      <c r="T5" s="9" t="s">
        <v>65</v>
      </c>
      <c r="U5" s="9" t="s">
        <v>72</v>
      </c>
    </row>
    <row r="6" customFormat="false" ht="53.7" hidden="false" customHeight="false" outlineLevel="0" collapsed="false">
      <c r="A6" s="9" t="s">
        <v>166</v>
      </c>
      <c r="B6" s="10" t="s">
        <v>34</v>
      </c>
      <c r="C6" s="9" t="s">
        <v>167</v>
      </c>
      <c r="D6" s="9" t="s">
        <v>168</v>
      </c>
      <c r="E6" s="9" t="n">
        <v>10</v>
      </c>
      <c r="F6" s="9"/>
      <c r="G6" s="9" t="s">
        <v>150</v>
      </c>
      <c r="H6" s="9" t="s">
        <v>169</v>
      </c>
      <c r="I6" s="9" t="s">
        <v>152</v>
      </c>
      <c r="J6" s="9" t="s">
        <v>170</v>
      </c>
      <c r="K6" s="9" t="s">
        <v>154</v>
      </c>
      <c r="L6" s="11"/>
      <c r="M6" s="11" t="s">
        <v>108</v>
      </c>
      <c r="N6" s="11" t="s">
        <v>124</v>
      </c>
      <c r="O6" s="11" t="s">
        <v>86</v>
      </c>
      <c r="P6" s="11"/>
      <c r="Q6" s="11"/>
      <c r="R6" s="11"/>
      <c r="S6" s="9" t="s">
        <v>108</v>
      </c>
      <c r="T6" s="9" t="s">
        <v>124</v>
      </c>
      <c r="U6" s="9" t="s">
        <v>86</v>
      </c>
    </row>
    <row r="7" customFormat="false" ht="22.35" hidden="false" customHeight="false" outlineLevel="0" collapsed="false">
      <c r="A7" s="9" t="s">
        <v>171</v>
      </c>
      <c r="B7" s="10" t="s">
        <v>34</v>
      </c>
      <c r="C7" s="9" t="s">
        <v>167</v>
      </c>
      <c r="D7" s="9" t="s">
        <v>168</v>
      </c>
      <c r="E7" s="9" t="n">
        <v>10</v>
      </c>
      <c r="F7" s="9"/>
      <c r="G7" s="9" t="s">
        <v>160</v>
      </c>
      <c r="H7" s="9" t="s">
        <v>172</v>
      </c>
      <c r="I7" s="9" t="s">
        <v>152</v>
      </c>
      <c r="J7" s="9"/>
      <c r="K7" s="9" t="s">
        <v>154</v>
      </c>
      <c r="L7" s="11"/>
      <c r="M7" s="11" t="s">
        <v>96</v>
      </c>
      <c r="N7" s="11" t="s">
        <v>65</v>
      </c>
      <c r="O7" s="11" t="s">
        <v>72</v>
      </c>
      <c r="P7" s="11"/>
      <c r="Q7" s="11"/>
      <c r="R7" s="11"/>
      <c r="S7" s="9" t="s">
        <v>96</v>
      </c>
      <c r="T7" s="9" t="s">
        <v>65</v>
      </c>
      <c r="U7" s="9" t="s">
        <v>72</v>
      </c>
    </row>
    <row r="8" customFormat="false" ht="32.8" hidden="false" customHeight="false" outlineLevel="0" collapsed="false">
      <c r="A8" s="9" t="s">
        <v>173</v>
      </c>
      <c r="B8" s="12" t="s">
        <v>35</v>
      </c>
      <c r="C8" s="9" t="s">
        <v>174</v>
      </c>
      <c r="D8" s="9" t="s">
        <v>175</v>
      </c>
      <c r="E8" s="9" t="n">
        <v>6</v>
      </c>
      <c r="F8" s="9"/>
      <c r="G8" s="9" t="s">
        <v>150</v>
      </c>
      <c r="H8" s="9" t="s">
        <v>176</v>
      </c>
      <c r="I8" s="9" t="s">
        <v>152</v>
      </c>
      <c r="J8" s="9"/>
      <c r="K8" s="9" t="s">
        <v>154</v>
      </c>
      <c r="L8" s="11"/>
      <c r="M8" s="11" t="s">
        <v>103</v>
      </c>
      <c r="N8" s="11" t="s">
        <v>65</v>
      </c>
      <c r="O8" s="11" t="s">
        <v>72</v>
      </c>
      <c r="P8" s="11"/>
      <c r="Q8" s="11"/>
      <c r="R8" s="11"/>
      <c r="S8" s="9" t="s">
        <v>103</v>
      </c>
      <c r="T8" s="9" t="s">
        <v>65</v>
      </c>
      <c r="U8" s="9" t="s">
        <v>72</v>
      </c>
    </row>
    <row r="9" customFormat="false" ht="32.8" hidden="false" customHeight="false" outlineLevel="0" collapsed="false">
      <c r="A9" s="9" t="s">
        <v>177</v>
      </c>
      <c r="B9" s="12" t="s">
        <v>35</v>
      </c>
      <c r="C9" s="9" t="s">
        <v>178</v>
      </c>
      <c r="D9" s="9" t="s">
        <v>179</v>
      </c>
      <c r="E9" s="9" t="n">
        <v>3</v>
      </c>
      <c r="F9" s="9"/>
      <c r="G9" s="9" t="s">
        <v>180</v>
      </c>
      <c r="H9" s="9" t="s">
        <v>181</v>
      </c>
      <c r="I9" s="9" t="s">
        <v>152</v>
      </c>
      <c r="J9" s="9"/>
      <c r="K9" s="9" t="s">
        <v>154</v>
      </c>
      <c r="L9" s="11"/>
      <c r="M9" s="11" t="s">
        <v>103</v>
      </c>
      <c r="N9" s="11" t="s">
        <v>65</v>
      </c>
      <c r="O9" s="11" t="s">
        <v>72</v>
      </c>
      <c r="P9" s="11"/>
      <c r="Q9" s="11"/>
      <c r="R9" s="11"/>
      <c r="S9" s="9" t="s">
        <v>103</v>
      </c>
      <c r="T9" s="9" t="s">
        <v>65</v>
      </c>
      <c r="U9" s="9" t="s">
        <v>72</v>
      </c>
    </row>
    <row r="10" customFormat="false" ht="53.7" hidden="false" customHeight="false" outlineLevel="0" collapsed="false">
      <c r="A10" s="9" t="s">
        <v>182</v>
      </c>
      <c r="B10" s="12" t="s">
        <v>35</v>
      </c>
      <c r="C10" s="9" t="s">
        <v>178</v>
      </c>
      <c r="D10" s="9" t="s">
        <v>179</v>
      </c>
      <c r="E10" s="9" t="n">
        <v>6</v>
      </c>
      <c r="F10" s="9"/>
      <c r="G10" s="9" t="s">
        <v>183</v>
      </c>
      <c r="H10" s="9" t="s">
        <v>184</v>
      </c>
      <c r="I10" s="9" t="s">
        <v>185</v>
      </c>
      <c r="J10" s="9"/>
      <c r="K10" s="9" t="s">
        <v>154</v>
      </c>
      <c r="L10" s="11"/>
      <c r="M10" s="11" t="s">
        <v>108</v>
      </c>
      <c r="N10" s="11" t="s">
        <v>65</v>
      </c>
      <c r="O10" s="11" t="s">
        <v>72</v>
      </c>
      <c r="P10" s="11"/>
      <c r="Q10" s="11"/>
      <c r="R10" s="11"/>
      <c r="S10" s="9" t="s">
        <v>108</v>
      </c>
      <c r="T10" s="9" t="s">
        <v>65</v>
      </c>
      <c r="U10" s="9" t="s">
        <v>72</v>
      </c>
    </row>
    <row r="11" customFormat="false" ht="32.8" hidden="false" customHeight="false" outlineLevel="0" collapsed="false">
      <c r="A11" s="9" t="s">
        <v>186</v>
      </c>
      <c r="B11" s="10" t="s">
        <v>34</v>
      </c>
      <c r="C11" s="9" t="s">
        <v>187</v>
      </c>
      <c r="D11" s="9" t="s">
        <v>188</v>
      </c>
      <c r="E11" s="9" t="n">
        <v>2</v>
      </c>
      <c r="F11" s="9"/>
      <c r="G11" s="9" t="s">
        <v>180</v>
      </c>
      <c r="H11" s="9" t="s">
        <v>189</v>
      </c>
      <c r="I11" s="9" t="s">
        <v>152</v>
      </c>
      <c r="J11" s="9"/>
      <c r="K11" s="9" t="s">
        <v>154</v>
      </c>
      <c r="L11" s="11"/>
      <c r="M11" s="11" t="s">
        <v>57</v>
      </c>
      <c r="N11" s="11" t="s">
        <v>85</v>
      </c>
      <c r="O11" s="11" t="s">
        <v>59</v>
      </c>
      <c r="P11" s="11"/>
      <c r="Q11" s="11"/>
      <c r="R11" s="11"/>
      <c r="S11" s="9" t="s">
        <v>57</v>
      </c>
      <c r="T11" s="9" t="s">
        <v>85</v>
      </c>
      <c r="U11" s="9" t="s">
        <v>59</v>
      </c>
    </row>
    <row r="12" customFormat="false" ht="32.8" hidden="false" customHeight="false" outlineLevel="0" collapsed="false">
      <c r="A12" s="9" t="s">
        <v>190</v>
      </c>
      <c r="B12" s="12" t="s">
        <v>35</v>
      </c>
      <c r="C12" s="9" t="s">
        <v>187</v>
      </c>
      <c r="D12" s="9" t="s">
        <v>188</v>
      </c>
      <c r="E12" s="9" t="n">
        <v>4</v>
      </c>
      <c r="F12" s="9"/>
      <c r="G12" s="9" t="s">
        <v>160</v>
      </c>
      <c r="H12" s="9" t="s">
        <v>191</v>
      </c>
      <c r="I12" s="9" t="s">
        <v>152</v>
      </c>
      <c r="J12" s="9"/>
      <c r="K12" s="9" t="s">
        <v>154</v>
      </c>
      <c r="L12" s="11"/>
      <c r="M12" s="11" t="s">
        <v>123</v>
      </c>
      <c r="N12" s="11" t="s">
        <v>65</v>
      </c>
      <c r="O12" s="11" t="s">
        <v>72</v>
      </c>
      <c r="P12" s="11"/>
      <c r="Q12" s="11"/>
      <c r="R12" s="11"/>
      <c r="S12" s="9" t="s">
        <v>123</v>
      </c>
      <c r="T12" s="9" t="s">
        <v>65</v>
      </c>
      <c r="U12" s="9" t="s">
        <v>72</v>
      </c>
    </row>
    <row r="13" customFormat="false" ht="32.8" hidden="false" customHeight="false" outlineLevel="0" collapsed="false">
      <c r="A13" s="9" t="s">
        <v>192</v>
      </c>
      <c r="B13" s="12" t="s">
        <v>35</v>
      </c>
      <c r="C13" s="9" t="s">
        <v>187</v>
      </c>
      <c r="D13" s="9" t="s">
        <v>188</v>
      </c>
      <c r="E13" s="9" t="n">
        <v>5</v>
      </c>
      <c r="F13" s="9"/>
      <c r="G13" s="9" t="s">
        <v>193</v>
      </c>
      <c r="H13" s="9" t="s">
        <v>194</v>
      </c>
      <c r="I13" s="9" t="s">
        <v>152</v>
      </c>
      <c r="J13" s="9"/>
      <c r="K13" s="9" t="s">
        <v>154</v>
      </c>
      <c r="L13" s="11"/>
      <c r="M13" s="11" t="s">
        <v>126</v>
      </c>
      <c r="N13" s="11" t="s">
        <v>65</v>
      </c>
      <c r="O13" s="11" t="s">
        <v>72</v>
      </c>
      <c r="P13" s="11"/>
      <c r="Q13" s="11"/>
      <c r="R13" s="11"/>
      <c r="S13" s="9" t="s">
        <v>126</v>
      </c>
      <c r="T13" s="9" t="s">
        <v>65</v>
      </c>
      <c r="U13" s="9" t="s">
        <v>72</v>
      </c>
    </row>
    <row r="14" customFormat="false" ht="32.8" hidden="false" customHeight="false" outlineLevel="0" collapsed="false">
      <c r="A14" s="9" t="s">
        <v>195</v>
      </c>
      <c r="B14" s="10" t="s">
        <v>34</v>
      </c>
      <c r="C14" s="9" t="s">
        <v>187</v>
      </c>
      <c r="D14" s="9" t="s">
        <v>188</v>
      </c>
      <c r="E14" s="9" t="n">
        <v>7</v>
      </c>
      <c r="F14" s="9"/>
      <c r="G14" s="9" t="s">
        <v>156</v>
      </c>
      <c r="H14" s="9" t="s">
        <v>196</v>
      </c>
      <c r="I14" s="9" t="s">
        <v>152</v>
      </c>
      <c r="J14" s="9"/>
      <c r="K14" s="9" t="s">
        <v>154</v>
      </c>
      <c r="L14" s="11"/>
      <c r="M14" s="11" t="s">
        <v>57</v>
      </c>
      <c r="N14" s="11" t="s">
        <v>97</v>
      </c>
      <c r="O14" s="11" t="s">
        <v>72</v>
      </c>
      <c r="P14" s="11"/>
      <c r="Q14" s="11"/>
      <c r="R14" s="11"/>
      <c r="S14" s="9" t="s">
        <v>57</v>
      </c>
      <c r="T14" s="9" t="s">
        <v>97</v>
      </c>
      <c r="U14" s="9" t="s">
        <v>72</v>
      </c>
    </row>
    <row r="15" customFormat="false" ht="32.8" hidden="false" customHeight="false" outlineLevel="0" collapsed="false">
      <c r="A15" s="9" t="s">
        <v>197</v>
      </c>
      <c r="B15" s="10" t="s">
        <v>34</v>
      </c>
      <c r="C15" s="9" t="s">
        <v>187</v>
      </c>
      <c r="D15" s="9" t="s">
        <v>188</v>
      </c>
      <c r="E15" s="9" t="n">
        <v>7</v>
      </c>
      <c r="F15" s="9"/>
      <c r="G15" s="9" t="s">
        <v>198</v>
      </c>
      <c r="H15" s="9" t="s">
        <v>199</v>
      </c>
      <c r="I15" s="9" t="s">
        <v>152</v>
      </c>
      <c r="J15" s="9"/>
      <c r="K15" s="9" t="s">
        <v>154</v>
      </c>
      <c r="L15" s="11"/>
      <c r="M15" s="11" t="s">
        <v>57</v>
      </c>
      <c r="N15" s="11" t="s">
        <v>109</v>
      </c>
      <c r="O15" s="11" t="s">
        <v>86</v>
      </c>
      <c r="P15" s="11"/>
      <c r="Q15" s="11"/>
      <c r="R15" s="11"/>
      <c r="S15" s="9" t="s">
        <v>57</v>
      </c>
      <c r="T15" s="9" t="s">
        <v>109</v>
      </c>
      <c r="U15" s="9" t="s">
        <v>86</v>
      </c>
    </row>
    <row r="16" customFormat="false" ht="32.8" hidden="false" customHeight="false" outlineLevel="0" collapsed="false">
      <c r="A16" s="9" t="s">
        <v>200</v>
      </c>
      <c r="B16" s="10" t="s">
        <v>34</v>
      </c>
      <c r="C16" s="9" t="s">
        <v>201</v>
      </c>
      <c r="D16" s="9" t="s">
        <v>202</v>
      </c>
      <c r="E16" s="9" t="n">
        <v>9</v>
      </c>
      <c r="F16" s="9"/>
      <c r="G16" s="9" t="s">
        <v>203</v>
      </c>
      <c r="H16" s="9" t="s">
        <v>204</v>
      </c>
      <c r="I16" s="9" t="s">
        <v>152</v>
      </c>
      <c r="J16" s="9"/>
      <c r="K16" s="9" t="s">
        <v>154</v>
      </c>
      <c r="L16" s="11"/>
      <c r="M16" s="11" t="s">
        <v>120</v>
      </c>
      <c r="N16" s="11" t="s">
        <v>109</v>
      </c>
      <c r="O16" s="11" t="s">
        <v>86</v>
      </c>
      <c r="P16" s="11"/>
      <c r="Q16" s="11"/>
      <c r="R16" s="11"/>
      <c r="S16" s="9" t="s">
        <v>120</v>
      </c>
      <c r="T16" s="9" t="s">
        <v>109</v>
      </c>
      <c r="U16" s="9" t="s">
        <v>86</v>
      </c>
    </row>
    <row r="17" customFormat="false" ht="32.8" hidden="false" customHeight="false" outlineLevel="0" collapsed="false">
      <c r="A17" s="9" t="s">
        <v>205</v>
      </c>
      <c r="B17" s="12" t="s">
        <v>35</v>
      </c>
      <c r="C17" s="9" t="s">
        <v>201</v>
      </c>
      <c r="D17" s="9" t="s">
        <v>202</v>
      </c>
      <c r="E17" s="9" t="n">
        <v>11</v>
      </c>
      <c r="F17" s="9"/>
      <c r="G17" s="9" t="s">
        <v>206</v>
      </c>
      <c r="H17" s="9" t="s">
        <v>207</v>
      </c>
      <c r="I17" s="9" t="s">
        <v>152</v>
      </c>
      <c r="J17" s="9"/>
      <c r="K17" s="9" t="s">
        <v>154</v>
      </c>
      <c r="L17" s="11"/>
      <c r="M17" s="11" t="s">
        <v>57</v>
      </c>
      <c r="N17" s="11" t="s">
        <v>65</v>
      </c>
      <c r="O17" s="11" t="s">
        <v>86</v>
      </c>
      <c r="P17" s="11"/>
      <c r="Q17" s="11"/>
      <c r="R17" s="11"/>
      <c r="S17" s="9" t="s">
        <v>57</v>
      </c>
      <c r="T17" s="9" t="s">
        <v>65</v>
      </c>
      <c r="U17" s="9" t="s">
        <v>86</v>
      </c>
    </row>
    <row r="18" customFormat="false" ht="32.8" hidden="false" customHeight="false" outlineLevel="0" collapsed="false">
      <c r="A18" s="9" t="s">
        <v>208</v>
      </c>
      <c r="B18" s="12" t="s">
        <v>35</v>
      </c>
      <c r="C18" s="9" t="s">
        <v>201</v>
      </c>
      <c r="D18" s="9" t="s">
        <v>202</v>
      </c>
      <c r="E18" s="9" t="n">
        <v>18</v>
      </c>
      <c r="F18" s="9"/>
      <c r="G18" s="9" t="s">
        <v>209</v>
      </c>
      <c r="H18" s="9" t="s">
        <v>210</v>
      </c>
      <c r="I18" s="9" t="s">
        <v>152</v>
      </c>
      <c r="J18" s="9"/>
      <c r="K18" s="9" t="s">
        <v>154</v>
      </c>
      <c r="L18" s="11"/>
      <c r="M18" s="11" t="s">
        <v>103</v>
      </c>
      <c r="N18" s="11" t="s">
        <v>65</v>
      </c>
      <c r="O18" s="11" t="s">
        <v>86</v>
      </c>
      <c r="P18" s="11"/>
      <c r="Q18" s="11"/>
      <c r="R18" s="11"/>
      <c r="S18" s="9" t="s">
        <v>103</v>
      </c>
      <c r="T18" s="9" t="s">
        <v>65</v>
      </c>
      <c r="U18" s="9" t="s">
        <v>86</v>
      </c>
    </row>
    <row r="19" customFormat="false" ht="32.8" hidden="false" customHeight="false" outlineLevel="0" collapsed="false">
      <c r="A19" s="9" t="s">
        <v>211</v>
      </c>
      <c r="B19" s="12" t="s">
        <v>35</v>
      </c>
      <c r="C19" s="9" t="s">
        <v>201</v>
      </c>
      <c r="D19" s="9" t="s">
        <v>202</v>
      </c>
      <c r="E19" s="9" t="n">
        <v>18</v>
      </c>
      <c r="F19" s="9"/>
      <c r="G19" s="9" t="s">
        <v>212</v>
      </c>
      <c r="H19" s="9" t="s">
        <v>213</v>
      </c>
      <c r="I19" s="9" t="s">
        <v>152</v>
      </c>
      <c r="J19" s="9"/>
      <c r="K19" s="9" t="s">
        <v>154</v>
      </c>
      <c r="L19" s="11"/>
      <c r="M19" s="11" t="s">
        <v>120</v>
      </c>
      <c r="N19" s="11" t="s">
        <v>65</v>
      </c>
      <c r="O19" s="11" t="s">
        <v>86</v>
      </c>
      <c r="P19" s="11"/>
      <c r="Q19" s="11"/>
      <c r="R19" s="11"/>
      <c r="S19" s="9" t="s">
        <v>120</v>
      </c>
      <c r="T19" s="9" t="s">
        <v>65</v>
      </c>
      <c r="U19" s="9" t="s">
        <v>86</v>
      </c>
    </row>
    <row r="20" customFormat="false" ht="32.8" hidden="false" customHeight="false" outlineLevel="0" collapsed="false">
      <c r="A20" s="9" t="s">
        <v>214</v>
      </c>
      <c r="B20" s="10" t="s">
        <v>34</v>
      </c>
      <c r="C20" s="9" t="s">
        <v>215</v>
      </c>
      <c r="D20" s="9" t="s">
        <v>216</v>
      </c>
      <c r="E20" s="9" t="n">
        <v>1</v>
      </c>
      <c r="F20" s="9"/>
      <c r="G20" s="9" t="s">
        <v>198</v>
      </c>
      <c r="H20" s="9" t="s">
        <v>217</v>
      </c>
      <c r="I20" s="9" t="s">
        <v>152</v>
      </c>
      <c r="J20" s="9"/>
      <c r="K20" s="9" t="s">
        <v>154</v>
      </c>
      <c r="L20" s="11"/>
      <c r="M20" s="11" t="s">
        <v>57</v>
      </c>
      <c r="N20" s="11" t="s">
        <v>113</v>
      </c>
      <c r="O20" s="11" t="s">
        <v>59</v>
      </c>
      <c r="P20" s="11"/>
      <c r="Q20" s="11"/>
      <c r="R20" s="11"/>
      <c r="S20" s="9" t="s">
        <v>57</v>
      </c>
      <c r="T20" s="9" t="s">
        <v>113</v>
      </c>
      <c r="U20" s="9" t="s">
        <v>59</v>
      </c>
    </row>
    <row r="21" customFormat="false" ht="32.8" hidden="false" customHeight="false" outlineLevel="0" collapsed="false">
      <c r="A21" s="9" t="s">
        <v>218</v>
      </c>
      <c r="B21" s="10" t="s">
        <v>34</v>
      </c>
      <c r="C21" s="9" t="s">
        <v>215</v>
      </c>
      <c r="D21" s="9" t="s">
        <v>216</v>
      </c>
      <c r="E21" s="9" t="n">
        <v>2</v>
      </c>
      <c r="F21" s="9"/>
      <c r="G21" s="9" t="s">
        <v>180</v>
      </c>
      <c r="H21" s="9" t="s">
        <v>219</v>
      </c>
      <c r="I21" s="9" t="s">
        <v>152</v>
      </c>
      <c r="J21" s="9"/>
      <c r="K21" s="9" t="s">
        <v>154</v>
      </c>
      <c r="L21" s="11"/>
      <c r="M21" s="11" t="s">
        <v>123</v>
      </c>
      <c r="N21" s="11" t="s">
        <v>65</v>
      </c>
      <c r="O21" s="11" t="s">
        <v>59</v>
      </c>
      <c r="P21" s="11"/>
      <c r="Q21" s="11"/>
      <c r="R21" s="11"/>
      <c r="S21" s="9" t="s">
        <v>123</v>
      </c>
      <c r="T21" s="9" t="s">
        <v>65</v>
      </c>
      <c r="U21" s="9" t="s">
        <v>59</v>
      </c>
    </row>
    <row r="22" customFormat="false" ht="32.8" hidden="false" customHeight="false" outlineLevel="0" collapsed="false">
      <c r="A22" s="9" t="s">
        <v>220</v>
      </c>
      <c r="B22" s="10" t="s">
        <v>34</v>
      </c>
      <c r="C22" s="9" t="s">
        <v>215</v>
      </c>
      <c r="D22" s="9" t="s">
        <v>216</v>
      </c>
      <c r="E22" s="9" t="n">
        <v>2</v>
      </c>
      <c r="F22" s="9"/>
      <c r="G22" s="9" t="s">
        <v>183</v>
      </c>
      <c r="H22" s="9" t="s">
        <v>221</v>
      </c>
      <c r="I22" s="9" t="s">
        <v>152</v>
      </c>
      <c r="J22" s="9"/>
      <c r="K22" s="9" t="s">
        <v>154</v>
      </c>
      <c r="L22" s="11"/>
      <c r="M22" s="11" t="s">
        <v>117</v>
      </c>
      <c r="N22" s="11" t="s">
        <v>65</v>
      </c>
      <c r="O22" s="11" t="s">
        <v>59</v>
      </c>
      <c r="P22" s="11"/>
      <c r="Q22" s="11"/>
      <c r="R22" s="11"/>
      <c r="S22" s="9" t="s">
        <v>117</v>
      </c>
      <c r="T22" s="9" t="s">
        <v>65</v>
      </c>
      <c r="U22" s="9" t="s">
        <v>59</v>
      </c>
    </row>
    <row r="23" customFormat="false" ht="22.35" hidden="false" customHeight="false" outlineLevel="0" collapsed="false">
      <c r="A23" s="9" t="s">
        <v>222</v>
      </c>
      <c r="B23" s="10" t="s">
        <v>34</v>
      </c>
      <c r="C23" s="9" t="s">
        <v>215</v>
      </c>
      <c r="D23" s="9" t="s">
        <v>216</v>
      </c>
      <c r="E23" s="9" t="n">
        <v>4</v>
      </c>
      <c r="F23" s="9"/>
      <c r="G23" s="9" t="s">
        <v>223</v>
      </c>
      <c r="H23" s="9" t="s">
        <v>224</v>
      </c>
      <c r="I23" s="9" t="s">
        <v>152</v>
      </c>
      <c r="J23" s="9"/>
      <c r="K23" s="9" t="s">
        <v>154</v>
      </c>
      <c r="L23" s="11"/>
      <c r="M23" s="11" t="s">
        <v>117</v>
      </c>
      <c r="N23" s="11" t="s">
        <v>65</v>
      </c>
      <c r="O23" s="11" t="s">
        <v>59</v>
      </c>
      <c r="P23" s="11"/>
      <c r="Q23" s="11"/>
      <c r="R23" s="11"/>
      <c r="S23" s="9" t="s">
        <v>117</v>
      </c>
      <c r="T23" s="9" t="s">
        <v>65</v>
      </c>
      <c r="U23" s="9" t="s">
        <v>59</v>
      </c>
    </row>
    <row r="24" customFormat="false" ht="32.8" hidden="false" customHeight="false" outlineLevel="0" collapsed="false">
      <c r="A24" s="9" t="s">
        <v>225</v>
      </c>
      <c r="B24" s="10" t="s">
        <v>34</v>
      </c>
      <c r="C24" s="9" t="s">
        <v>215</v>
      </c>
      <c r="D24" s="9" t="s">
        <v>216</v>
      </c>
      <c r="E24" s="9" t="n">
        <v>5</v>
      </c>
      <c r="F24" s="9"/>
      <c r="G24" s="9" t="s">
        <v>156</v>
      </c>
      <c r="H24" s="9" t="s">
        <v>226</v>
      </c>
      <c r="I24" s="9" t="s">
        <v>152</v>
      </c>
      <c r="J24" s="9"/>
      <c r="K24" s="9" t="s">
        <v>154</v>
      </c>
      <c r="L24" s="11"/>
      <c r="M24" s="11" t="s">
        <v>103</v>
      </c>
      <c r="N24" s="11" t="s">
        <v>65</v>
      </c>
      <c r="O24" s="11" t="s">
        <v>72</v>
      </c>
      <c r="P24" s="11"/>
      <c r="Q24" s="11"/>
      <c r="R24" s="11"/>
      <c r="S24" s="9" t="s">
        <v>103</v>
      </c>
      <c r="T24" s="9" t="s">
        <v>65</v>
      </c>
      <c r="U24" s="9" t="s">
        <v>72</v>
      </c>
    </row>
    <row r="25" customFormat="false" ht="32.8" hidden="false" customHeight="false" outlineLevel="0" collapsed="false">
      <c r="A25" s="9" t="s">
        <v>227</v>
      </c>
      <c r="B25" s="10" t="s">
        <v>34</v>
      </c>
      <c r="C25" s="9" t="s">
        <v>215</v>
      </c>
      <c r="D25" s="9" t="s">
        <v>216</v>
      </c>
      <c r="E25" s="9" t="n">
        <v>11</v>
      </c>
      <c r="F25" s="9"/>
      <c r="G25" s="9" t="s">
        <v>228</v>
      </c>
      <c r="H25" s="9" t="s">
        <v>229</v>
      </c>
      <c r="I25" s="9" t="s">
        <v>152</v>
      </c>
      <c r="J25" s="9"/>
      <c r="K25" s="9" t="s">
        <v>154</v>
      </c>
      <c r="L25" s="11"/>
      <c r="M25" s="11" t="s">
        <v>57</v>
      </c>
      <c r="N25" s="11" t="s">
        <v>113</v>
      </c>
      <c r="O25" s="11" t="s">
        <v>86</v>
      </c>
      <c r="P25" s="11"/>
      <c r="Q25" s="11"/>
      <c r="R25" s="11"/>
      <c r="S25" s="9" t="s">
        <v>57</v>
      </c>
      <c r="T25" s="9" t="s">
        <v>113</v>
      </c>
      <c r="U25" s="9" t="s">
        <v>86</v>
      </c>
    </row>
    <row r="26" customFormat="false" ht="32.8" hidden="false" customHeight="false" outlineLevel="0" collapsed="false">
      <c r="A26" s="9" t="s">
        <v>230</v>
      </c>
      <c r="B26" s="12" t="s">
        <v>35</v>
      </c>
      <c r="C26" s="9" t="s">
        <v>231</v>
      </c>
      <c r="D26" s="9" t="s">
        <v>232</v>
      </c>
      <c r="E26" s="9" t="n">
        <v>6</v>
      </c>
      <c r="F26" s="9"/>
      <c r="G26" s="9" t="s">
        <v>233</v>
      </c>
      <c r="H26" s="9" t="s">
        <v>234</v>
      </c>
      <c r="I26" s="9" t="s">
        <v>152</v>
      </c>
      <c r="J26" s="9"/>
      <c r="K26" s="9" t="s">
        <v>154</v>
      </c>
      <c r="L26" s="11"/>
      <c r="M26" s="11" t="s">
        <v>120</v>
      </c>
      <c r="N26" s="11" t="s">
        <v>65</v>
      </c>
      <c r="O26" s="11" t="s">
        <v>59</v>
      </c>
      <c r="P26" s="11"/>
      <c r="Q26" s="11"/>
      <c r="R26" s="11"/>
      <c r="S26" s="9" t="s">
        <v>120</v>
      </c>
      <c r="T26" s="9" t="s">
        <v>65</v>
      </c>
      <c r="U26" s="9" t="s">
        <v>59</v>
      </c>
    </row>
    <row r="27" customFormat="false" ht="32.8" hidden="false" customHeight="false" outlineLevel="0" collapsed="false">
      <c r="A27" s="9" t="s">
        <v>235</v>
      </c>
      <c r="B27" s="12" t="s">
        <v>35</v>
      </c>
      <c r="C27" s="9" t="s">
        <v>231</v>
      </c>
      <c r="D27" s="9" t="s">
        <v>232</v>
      </c>
      <c r="E27" s="9" t="n">
        <v>6</v>
      </c>
      <c r="F27" s="9"/>
      <c r="G27" s="9" t="s">
        <v>198</v>
      </c>
      <c r="H27" s="9" t="s">
        <v>236</v>
      </c>
      <c r="I27" s="9" t="s">
        <v>152</v>
      </c>
      <c r="J27" s="9"/>
      <c r="K27" s="9" t="s">
        <v>154</v>
      </c>
      <c r="L27" s="11"/>
      <c r="M27" s="11" t="s">
        <v>126</v>
      </c>
      <c r="N27" s="11" t="s">
        <v>65</v>
      </c>
      <c r="O27" s="11" t="s">
        <v>59</v>
      </c>
      <c r="P27" s="11"/>
      <c r="Q27" s="11"/>
      <c r="R27" s="11"/>
      <c r="S27" s="9" t="s">
        <v>126</v>
      </c>
      <c r="T27" s="9" t="s">
        <v>65</v>
      </c>
      <c r="U27" s="9" t="s">
        <v>59</v>
      </c>
    </row>
    <row r="28" customFormat="false" ht="32.8" hidden="false" customHeight="false" outlineLevel="0" collapsed="false">
      <c r="A28" s="9" t="s">
        <v>237</v>
      </c>
      <c r="B28" s="10" t="s">
        <v>34</v>
      </c>
      <c r="C28" s="9" t="s">
        <v>231</v>
      </c>
      <c r="D28" s="9" t="s">
        <v>232</v>
      </c>
      <c r="E28" s="9" t="n">
        <v>9</v>
      </c>
      <c r="F28" s="9"/>
      <c r="G28" s="9" t="s">
        <v>238</v>
      </c>
      <c r="H28" s="9" t="s">
        <v>239</v>
      </c>
      <c r="I28" s="9" t="s">
        <v>152</v>
      </c>
      <c r="J28" s="9"/>
      <c r="K28" s="9" t="s">
        <v>154</v>
      </c>
      <c r="L28" s="11"/>
      <c r="M28" s="11" t="s">
        <v>120</v>
      </c>
      <c r="N28" s="11" t="s">
        <v>97</v>
      </c>
      <c r="O28" s="11" t="s">
        <v>86</v>
      </c>
      <c r="P28" s="11"/>
      <c r="Q28" s="11"/>
      <c r="R28" s="11"/>
      <c r="S28" s="9" t="s">
        <v>120</v>
      </c>
      <c r="T28" s="9" t="s">
        <v>97</v>
      </c>
      <c r="U28" s="9" t="s">
        <v>86</v>
      </c>
    </row>
    <row r="29" customFormat="false" ht="32.8" hidden="false" customHeight="false" outlineLevel="0" collapsed="false">
      <c r="A29" s="9" t="s">
        <v>240</v>
      </c>
      <c r="B29" s="10" t="s">
        <v>34</v>
      </c>
      <c r="C29" s="9" t="s">
        <v>231</v>
      </c>
      <c r="D29" s="9" t="s">
        <v>232</v>
      </c>
      <c r="E29" s="9" t="n">
        <v>10</v>
      </c>
      <c r="F29" s="9"/>
      <c r="G29" s="9" t="s">
        <v>241</v>
      </c>
      <c r="H29" s="9" t="s">
        <v>242</v>
      </c>
      <c r="I29" s="9" t="s">
        <v>152</v>
      </c>
      <c r="J29" s="9"/>
      <c r="K29" s="9" t="s">
        <v>154</v>
      </c>
      <c r="L29" s="11"/>
      <c r="M29" s="11" t="s">
        <v>57</v>
      </c>
      <c r="N29" s="11" t="s">
        <v>97</v>
      </c>
      <c r="O29" s="11" t="s">
        <v>86</v>
      </c>
      <c r="P29" s="11"/>
      <c r="Q29" s="11"/>
      <c r="R29" s="11"/>
      <c r="S29" s="9" t="s">
        <v>57</v>
      </c>
      <c r="T29" s="9" t="s">
        <v>97</v>
      </c>
      <c r="U29" s="9" t="s">
        <v>86</v>
      </c>
    </row>
    <row r="30" customFormat="false" ht="32.8" hidden="false" customHeight="false" outlineLevel="0" collapsed="false">
      <c r="A30" s="9" t="s">
        <v>243</v>
      </c>
      <c r="B30" s="10" t="s">
        <v>34</v>
      </c>
      <c r="C30" s="9" t="s">
        <v>244</v>
      </c>
      <c r="D30" s="9" t="s">
        <v>245</v>
      </c>
      <c r="E30" s="9" t="n">
        <v>3</v>
      </c>
      <c r="F30" s="9"/>
      <c r="G30" s="9" t="s">
        <v>180</v>
      </c>
      <c r="H30" s="9" t="s">
        <v>246</v>
      </c>
      <c r="I30" s="9" t="s">
        <v>152</v>
      </c>
      <c r="J30" s="9"/>
      <c r="K30" s="9" t="s">
        <v>154</v>
      </c>
      <c r="L30" s="11"/>
      <c r="M30" s="11" t="s">
        <v>126</v>
      </c>
      <c r="N30" s="11" t="s">
        <v>65</v>
      </c>
      <c r="O30" s="11" t="s">
        <v>59</v>
      </c>
      <c r="P30" s="11"/>
      <c r="Q30" s="11"/>
      <c r="R30" s="11"/>
      <c r="S30" s="9" t="s">
        <v>126</v>
      </c>
      <c r="T30" s="9" t="s">
        <v>65</v>
      </c>
      <c r="U30" s="9" t="s">
        <v>59</v>
      </c>
    </row>
    <row r="31" customFormat="false" ht="32.8" hidden="false" customHeight="false" outlineLevel="0" collapsed="false">
      <c r="A31" s="9" t="s">
        <v>247</v>
      </c>
      <c r="B31" s="10" t="s">
        <v>34</v>
      </c>
      <c r="C31" s="9" t="s">
        <v>244</v>
      </c>
      <c r="D31" s="9" t="s">
        <v>245</v>
      </c>
      <c r="E31" s="9" t="n">
        <v>3</v>
      </c>
      <c r="F31" s="9"/>
      <c r="G31" s="9" t="s">
        <v>183</v>
      </c>
      <c r="H31" s="9" t="s">
        <v>248</v>
      </c>
      <c r="I31" s="9" t="s">
        <v>152</v>
      </c>
      <c r="J31" s="9"/>
      <c r="K31" s="9" t="s">
        <v>154</v>
      </c>
      <c r="L31" s="11"/>
      <c r="M31" s="11" t="s">
        <v>120</v>
      </c>
      <c r="N31" s="11" t="s">
        <v>65</v>
      </c>
      <c r="O31" s="11" t="s">
        <v>59</v>
      </c>
      <c r="P31" s="11"/>
      <c r="Q31" s="11"/>
      <c r="R31" s="11"/>
      <c r="S31" s="9" t="s">
        <v>120</v>
      </c>
      <c r="T31" s="9" t="s">
        <v>65</v>
      </c>
      <c r="U31" s="9" t="s">
        <v>59</v>
      </c>
    </row>
    <row r="32" customFormat="false" ht="32.8" hidden="false" customHeight="false" outlineLevel="0" collapsed="false">
      <c r="A32" s="9" t="s">
        <v>249</v>
      </c>
      <c r="B32" s="10" t="s">
        <v>34</v>
      </c>
      <c r="C32" s="9" t="s">
        <v>244</v>
      </c>
      <c r="D32" s="9" t="s">
        <v>245</v>
      </c>
      <c r="E32" s="9" t="n">
        <v>6</v>
      </c>
      <c r="F32" s="9"/>
      <c r="G32" s="9" t="s">
        <v>233</v>
      </c>
      <c r="H32" s="9" t="s">
        <v>250</v>
      </c>
      <c r="I32" s="9" t="s">
        <v>152</v>
      </c>
      <c r="J32" s="9"/>
      <c r="K32" s="9" t="s">
        <v>154</v>
      </c>
      <c r="L32" s="11"/>
      <c r="M32" s="11" t="s">
        <v>96</v>
      </c>
      <c r="N32" s="11" t="s">
        <v>65</v>
      </c>
      <c r="O32" s="11" t="s">
        <v>59</v>
      </c>
      <c r="P32" s="11"/>
      <c r="Q32" s="11"/>
      <c r="R32" s="11"/>
      <c r="S32" s="9" t="s">
        <v>96</v>
      </c>
      <c r="T32" s="9" t="s">
        <v>65</v>
      </c>
      <c r="U32" s="9" t="s">
        <v>59</v>
      </c>
    </row>
    <row r="33" customFormat="false" ht="43.25" hidden="false" customHeight="false" outlineLevel="0" collapsed="false">
      <c r="A33" s="9" t="s">
        <v>251</v>
      </c>
      <c r="B33" s="10" t="s">
        <v>34</v>
      </c>
      <c r="C33" s="9" t="s">
        <v>244</v>
      </c>
      <c r="D33" s="9" t="s">
        <v>245</v>
      </c>
      <c r="E33" s="9" t="n">
        <v>7</v>
      </c>
      <c r="F33" s="9"/>
      <c r="G33" s="9" t="s">
        <v>252</v>
      </c>
      <c r="H33" s="9" t="s">
        <v>253</v>
      </c>
      <c r="I33" s="9" t="s">
        <v>152</v>
      </c>
      <c r="J33" s="9"/>
      <c r="K33" s="9" t="s">
        <v>154</v>
      </c>
      <c r="L33" s="11"/>
      <c r="M33" s="11" t="s">
        <v>96</v>
      </c>
      <c r="N33" s="11" t="s">
        <v>65</v>
      </c>
      <c r="O33" s="11" t="s">
        <v>59</v>
      </c>
      <c r="P33" s="11"/>
      <c r="Q33" s="11"/>
      <c r="R33" s="11"/>
      <c r="S33" s="9" t="s">
        <v>96</v>
      </c>
      <c r="T33" s="9" t="s">
        <v>65</v>
      </c>
      <c r="U33" s="9" t="s">
        <v>59</v>
      </c>
    </row>
    <row r="34" customFormat="false" ht="53.7" hidden="false" customHeight="false" outlineLevel="0" collapsed="false">
      <c r="A34" s="9" t="s">
        <v>254</v>
      </c>
      <c r="B34" s="10" t="s">
        <v>34</v>
      </c>
      <c r="C34" s="9" t="s">
        <v>244</v>
      </c>
      <c r="D34" s="9" t="s">
        <v>245</v>
      </c>
      <c r="E34" s="9" t="n">
        <v>8</v>
      </c>
      <c r="F34" s="9"/>
      <c r="G34" s="9" t="s">
        <v>255</v>
      </c>
      <c r="H34" s="9" t="s">
        <v>256</v>
      </c>
      <c r="I34" s="9" t="s">
        <v>152</v>
      </c>
      <c r="J34" s="9"/>
      <c r="K34" s="9" t="s">
        <v>154</v>
      </c>
      <c r="L34" s="11"/>
      <c r="M34" s="11" t="s">
        <v>108</v>
      </c>
      <c r="N34" s="11" t="s">
        <v>109</v>
      </c>
      <c r="O34" s="11" t="s">
        <v>72</v>
      </c>
      <c r="P34" s="11"/>
      <c r="Q34" s="11"/>
      <c r="R34" s="11"/>
      <c r="S34" s="9" t="s">
        <v>108</v>
      </c>
      <c r="T34" s="9" t="s">
        <v>109</v>
      </c>
      <c r="U34" s="9" t="s">
        <v>72</v>
      </c>
    </row>
    <row r="35" customFormat="false" ht="32.8" hidden="false" customHeight="false" outlineLevel="0" collapsed="false">
      <c r="A35" s="9" t="s">
        <v>257</v>
      </c>
      <c r="B35" s="10" t="s">
        <v>34</v>
      </c>
      <c r="C35" s="9" t="s">
        <v>244</v>
      </c>
      <c r="D35" s="9" t="s">
        <v>245</v>
      </c>
      <c r="E35" s="9" t="n">
        <v>11</v>
      </c>
      <c r="F35" s="9"/>
      <c r="G35" s="9" t="s">
        <v>164</v>
      </c>
      <c r="H35" s="9" t="s">
        <v>258</v>
      </c>
      <c r="I35" s="9" t="s">
        <v>185</v>
      </c>
      <c r="J35" s="9"/>
      <c r="K35" s="9" t="s">
        <v>154</v>
      </c>
      <c r="L35" s="11"/>
      <c r="M35" s="11" t="s">
        <v>96</v>
      </c>
      <c r="N35" s="11" t="s">
        <v>65</v>
      </c>
      <c r="O35" s="11" t="s">
        <v>86</v>
      </c>
      <c r="P35" s="11"/>
      <c r="Q35" s="11"/>
      <c r="R35" s="11"/>
      <c r="S35" s="9" t="s">
        <v>96</v>
      </c>
      <c r="T35" s="9" t="s">
        <v>65</v>
      </c>
      <c r="U35" s="9" t="s">
        <v>86</v>
      </c>
    </row>
    <row r="36" customFormat="false" ht="32.8" hidden="false" customHeight="false" outlineLevel="0" collapsed="false">
      <c r="A36" s="9" t="s">
        <v>259</v>
      </c>
      <c r="B36" s="10" t="s">
        <v>34</v>
      </c>
      <c r="C36" s="9" t="s">
        <v>244</v>
      </c>
      <c r="D36" s="9" t="s">
        <v>245</v>
      </c>
      <c r="E36" s="9" t="n">
        <v>11</v>
      </c>
      <c r="F36" s="9"/>
      <c r="G36" s="9" t="s">
        <v>260</v>
      </c>
      <c r="H36" s="9" t="s">
        <v>261</v>
      </c>
      <c r="I36" s="9" t="s">
        <v>185</v>
      </c>
      <c r="J36" s="9"/>
      <c r="K36" s="9" t="s">
        <v>154</v>
      </c>
      <c r="L36" s="11"/>
      <c r="M36" s="11" t="s">
        <v>57</v>
      </c>
      <c r="N36" s="11" t="s">
        <v>65</v>
      </c>
      <c r="O36" s="11" t="s">
        <v>72</v>
      </c>
      <c r="P36" s="11"/>
      <c r="Q36" s="11"/>
      <c r="R36" s="11"/>
      <c r="S36" s="9" t="s">
        <v>57</v>
      </c>
      <c r="T36" s="9" t="s">
        <v>65</v>
      </c>
      <c r="U36" s="9" t="s">
        <v>72</v>
      </c>
    </row>
    <row r="37" customFormat="false" ht="32.8" hidden="false" customHeight="false" outlineLevel="0" collapsed="false">
      <c r="A37" s="9" t="s">
        <v>262</v>
      </c>
      <c r="B37" s="10" t="s">
        <v>34</v>
      </c>
      <c r="C37" s="9" t="s">
        <v>244</v>
      </c>
      <c r="D37" s="9" t="s">
        <v>245</v>
      </c>
      <c r="E37" s="9" t="n">
        <v>12</v>
      </c>
      <c r="F37" s="9"/>
      <c r="G37" s="9" t="s">
        <v>263</v>
      </c>
      <c r="H37" s="9" t="s">
        <v>264</v>
      </c>
      <c r="I37" s="9" t="s">
        <v>152</v>
      </c>
      <c r="J37" s="9"/>
      <c r="K37" s="9" t="s">
        <v>154</v>
      </c>
      <c r="L37" s="11"/>
      <c r="M37" s="11" t="s">
        <v>103</v>
      </c>
      <c r="N37" s="11" t="s">
        <v>65</v>
      </c>
      <c r="O37" s="11" t="s">
        <v>72</v>
      </c>
      <c r="P37" s="11"/>
      <c r="Q37" s="11"/>
      <c r="R37" s="11"/>
      <c r="S37" s="9" t="s">
        <v>103</v>
      </c>
      <c r="T37" s="9" t="s">
        <v>65</v>
      </c>
      <c r="U37" s="9" t="s">
        <v>72</v>
      </c>
    </row>
    <row r="38" customFormat="false" ht="32.8" hidden="false" customHeight="false" outlineLevel="0" collapsed="false">
      <c r="A38" s="9" t="s">
        <v>265</v>
      </c>
      <c r="B38" s="10" t="s">
        <v>34</v>
      </c>
      <c r="C38" s="9" t="s">
        <v>244</v>
      </c>
      <c r="D38" s="9" t="s">
        <v>245</v>
      </c>
      <c r="E38" s="9" t="n">
        <v>13</v>
      </c>
      <c r="F38" s="9"/>
      <c r="G38" s="9" t="s">
        <v>266</v>
      </c>
      <c r="H38" s="9" t="s">
        <v>267</v>
      </c>
      <c r="I38" s="9" t="s">
        <v>152</v>
      </c>
      <c r="J38" s="9"/>
      <c r="K38" s="9" t="s">
        <v>154</v>
      </c>
      <c r="L38" s="11"/>
      <c r="M38" s="11" t="s">
        <v>103</v>
      </c>
      <c r="N38" s="11" t="s">
        <v>65</v>
      </c>
      <c r="O38" s="11" t="s">
        <v>72</v>
      </c>
      <c r="P38" s="11"/>
      <c r="Q38" s="11"/>
      <c r="R38" s="11"/>
      <c r="S38" s="9" t="s">
        <v>103</v>
      </c>
      <c r="T38" s="9" t="s">
        <v>65</v>
      </c>
      <c r="U38" s="9" t="s">
        <v>72</v>
      </c>
    </row>
    <row r="39" customFormat="false" ht="53.7" hidden="false" customHeight="false" outlineLevel="0" collapsed="false">
      <c r="A39" s="9" t="s">
        <v>268</v>
      </c>
      <c r="B39" s="10" t="s">
        <v>34</v>
      </c>
      <c r="C39" s="9" t="s">
        <v>244</v>
      </c>
      <c r="D39" s="9" t="s">
        <v>245</v>
      </c>
      <c r="E39" s="9" t="n">
        <v>14</v>
      </c>
      <c r="F39" s="9"/>
      <c r="G39" s="9" t="s">
        <v>269</v>
      </c>
      <c r="H39" s="9" t="s">
        <v>270</v>
      </c>
      <c r="I39" s="9" t="s">
        <v>185</v>
      </c>
      <c r="J39" s="9"/>
      <c r="K39" s="9" t="s">
        <v>154</v>
      </c>
      <c r="L39" s="11"/>
      <c r="M39" s="11" t="s">
        <v>108</v>
      </c>
      <c r="N39" s="11" t="s">
        <v>65</v>
      </c>
      <c r="O39" s="11" t="s">
        <v>86</v>
      </c>
      <c r="P39" s="11"/>
      <c r="Q39" s="11"/>
      <c r="R39" s="11"/>
      <c r="S39" s="9" t="s">
        <v>108</v>
      </c>
      <c r="T39" s="9" t="s">
        <v>65</v>
      </c>
      <c r="U39" s="9" t="s">
        <v>86</v>
      </c>
    </row>
    <row r="40" customFormat="false" ht="32.8" hidden="false" customHeight="false" outlineLevel="0" collapsed="false">
      <c r="A40" s="9" t="s">
        <v>271</v>
      </c>
      <c r="B40" s="10" t="s">
        <v>34</v>
      </c>
      <c r="C40" s="9" t="s">
        <v>272</v>
      </c>
      <c r="D40" s="9" t="s">
        <v>273</v>
      </c>
      <c r="E40" s="9" t="n">
        <v>2</v>
      </c>
      <c r="F40" s="9"/>
      <c r="G40" s="9" t="s">
        <v>180</v>
      </c>
      <c r="H40" s="9" t="s">
        <v>274</v>
      </c>
      <c r="I40" s="9" t="s">
        <v>152</v>
      </c>
      <c r="J40" s="9"/>
      <c r="K40" s="9" t="s">
        <v>154</v>
      </c>
      <c r="L40" s="11"/>
      <c r="M40" s="11" t="s">
        <v>57</v>
      </c>
      <c r="N40" s="11" t="s">
        <v>58</v>
      </c>
      <c r="O40" s="11" t="s">
        <v>59</v>
      </c>
      <c r="P40" s="11"/>
      <c r="Q40" s="11"/>
      <c r="R40" s="11"/>
      <c r="S40" s="9" t="s">
        <v>57</v>
      </c>
      <c r="T40" s="9" t="s">
        <v>58</v>
      </c>
      <c r="U40" s="9" t="s">
        <v>59</v>
      </c>
    </row>
    <row r="41" customFormat="false" ht="85.05" hidden="false" customHeight="false" outlineLevel="0" collapsed="false">
      <c r="A41" s="9" t="s">
        <v>275</v>
      </c>
      <c r="B41" s="10" t="s">
        <v>34</v>
      </c>
      <c r="C41" s="9" t="s">
        <v>272</v>
      </c>
      <c r="D41" s="9" t="s">
        <v>273</v>
      </c>
      <c r="E41" s="9" t="n">
        <v>5</v>
      </c>
      <c r="F41" s="9"/>
      <c r="G41" s="9" t="s">
        <v>276</v>
      </c>
      <c r="H41" s="9" t="s">
        <v>277</v>
      </c>
      <c r="I41" s="9" t="s">
        <v>152</v>
      </c>
      <c r="J41" s="9" t="s">
        <v>278</v>
      </c>
      <c r="K41" s="9" t="s">
        <v>154</v>
      </c>
      <c r="L41" s="11"/>
      <c r="M41" s="11" t="s">
        <v>124</v>
      </c>
      <c r="N41" s="11" t="s">
        <v>124</v>
      </c>
      <c r="O41" s="11" t="s">
        <v>86</v>
      </c>
      <c r="P41" s="11"/>
      <c r="Q41" s="11"/>
      <c r="R41" s="11"/>
      <c r="S41" s="9" t="s">
        <v>124</v>
      </c>
      <c r="T41" s="9" t="s">
        <v>124</v>
      </c>
      <c r="U41" s="9" t="s">
        <v>86</v>
      </c>
    </row>
    <row r="42" customFormat="false" ht="32.8" hidden="false" customHeight="false" outlineLevel="0" collapsed="false">
      <c r="A42" s="9" t="s">
        <v>279</v>
      </c>
      <c r="B42" s="12" t="s">
        <v>35</v>
      </c>
      <c r="C42" s="9" t="s">
        <v>280</v>
      </c>
      <c r="D42" s="9" t="s">
        <v>281</v>
      </c>
      <c r="E42" s="9" t="n">
        <v>23</v>
      </c>
      <c r="F42" s="9"/>
      <c r="G42" s="9" t="s">
        <v>212</v>
      </c>
      <c r="H42" s="9" t="s">
        <v>282</v>
      </c>
      <c r="I42" s="9" t="s">
        <v>152</v>
      </c>
      <c r="J42" s="9"/>
      <c r="K42" s="9" t="s">
        <v>154</v>
      </c>
      <c r="L42" s="11"/>
      <c r="M42" s="11" t="s">
        <v>103</v>
      </c>
      <c r="N42" s="11" t="s">
        <v>65</v>
      </c>
      <c r="O42" s="11" t="s">
        <v>86</v>
      </c>
      <c r="P42" s="11"/>
      <c r="Q42" s="11"/>
      <c r="R42" s="11"/>
      <c r="S42" s="9" t="s">
        <v>103</v>
      </c>
      <c r="T42" s="9" t="s">
        <v>65</v>
      </c>
      <c r="U42" s="9" t="s">
        <v>86</v>
      </c>
    </row>
    <row r="43" customFormat="false" ht="32.8" hidden="false" customHeight="false" outlineLevel="0" collapsed="false">
      <c r="A43" s="9" t="s">
        <v>283</v>
      </c>
      <c r="B43" s="10" t="s">
        <v>34</v>
      </c>
      <c r="C43" s="9" t="s">
        <v>280</v>
      </c>
      <c r="D43" s="9" t="s">
        <v>281</v>
      </c>
      <c r="E43" s="9" t="n">
        <v>25</v>
      </c>
      <c r="F43" s="9"/>
      <c r="G43" s="9" t="s">
        <v>284</v>
      </c>
      <c r="H43" s="9" t="s">
        <v>285</v>
      </c>
      <c r="I43" s="9" t="s">
        <v>152</v>
      </c>
      <c r="J43" s="9"/>
      <c r="K43" s="9" t="s">
        <v>154</v>
      </c>
      <c r="L43" s="11"/>
      <c r="M43" s="11" t="s">
        <v>112</v>
      </c>
      <c r="N43" s="11" t="s">
        <v>109</v>
      </c>
      <c r="O43" s="11" t="s">
        <v>72</v>
      </c>
      <c r="P43" s="11"/>
      <c r="Q43" s="11"/>
      <c r="R43" s="11"/>
      <c r="S43" s="9" t="s">
        <v>112</v>
      </c>
      <c r="T43" s="9" t="s">
        <v>109</v>
      </c>
      <c r="U43" s="9" t="s">
        <v>72</v>
      </c>
    </row>
    <row r="44" customFormat="false" ht="32.8" hidden="false" customHeight="false" outlineLevel="0" collapsed="false">
      <c r="A44" s="9" t="s">
        <v>286</v>
      </c>
      <c r="B44" s="10" t="s">
        <v>34</v>
      </c>
      <c r="C44" s="9" t="s">
        <v>287</v>
      </c>
      <c r="D44" s="9" t="s">
        <v>288</v>
      </c>
      <c r="E44" s="9" t="n">
        <v>5</v>
      </c>
      <c r="F44" s="9"/>
      <c r="G44" s="9" t="s">
        <v>180</v>
      </c>
      <c r="H44" s="9" t="s">
        <v>289</v>
      </c>
      <c r="I44" s="9" t="s">
        <v>152</v>
      </c>
      <c r="J44" s="9" t="s">
        <v>290</v>
      </c>
      <c r="K44" s="9" t="s">
        <v>154</v>
      </c>
      <c r="L44" s="11"/>
      <c r="M44" s="11" t="s">
        <v>120</v>
      </c>
      <c r="N44" s="11" t="s">
        <v>124</v>
      </c>
      <c r="O44" s="11" t="s">
        <v>59</v>
      </c>
      <c r="P44" s="11"/>
      <c r="Q44" s="11"/>
      <c r="R44" s="11"/>
      <c r="S44" s="9" t="s">
        <v>120</v>
      </c>
      <c r="T44" s="9" t="s">
        <v>124</v>
      </c>
      <c r="U44" s="9" t="s">
        <v>59</v>
      </c>
    </row>
    <row r="45" customFormat="false" ht="43.25" hidden="false" customHeight="false" outlineLevel="0" collapsed="false">
      <c r="A45" s="9" t="s">
        <v>291</v>
      </c>
      <c r="B45" s="10" t="s">
        <v>34</v>
      </c>
      <c r="C45" s="9" t="s">
        <v>287</v>
      </c>
      <c r="D45" s="9" t="s">
        <v>288</v>
      </c>
      <c r="E45" s="9" t="n">
        <v>5</v>
      </c>
      <c r="F45" s="9"/>
      <c r="G45" s="9" t="s">
        <v>183</v>
      </c>
      <c r="H45" s="9" t="s">
        <v>292</v>
      </c>
      <c r="I45" s="9" t="s">
        <v>152</v>
      </c>
      <c r="J45" s="9" t="s">
        <v>290</v>
      </c>
      <c r="K45" s="9" t="s">
        <v>154</v>
      </c>
      <c r="L45" s="11"/>
      <c r="M45" s="11" t="s">
        <v>126</v>
      </c>
      <c r="N45" s="11" t="s">
        <v>124</v>
      </c>
      <c r="O45" s="11" t="s">
        <v>59</v>
      </c>
      <c r="P45" s="11"/>
      <c r="Q45" s="11"/>
      <c r="R45" s="11"/>
      <c r="S45" s="9" t="s">
        <v>126</v>
      </c>
      <c r="T45" s="9" t="s">
        <v>124</v>
      </c>
      <c r="U45" s="9" t="s">
        <v>59</v>
      </c>
    </row>
    <row r="46" customFormat="false" ht="32.8" hidden="false" customHeight="false" outlineLevel="0" collapsed="false">
      <c r="A46" s="9" t="s">
        <v>293</v>
      </c>
      <c r="B46" s="10" t="s">
        <v>34</v>
      </c>
      <c r="C46" s="9" t="s">
        <v>294</v>
      </c>
      <c r="D46" s="9" t="s">
        <v>295</v>
      </c>
      <c r="E46" s="9" t="n">
        <v>3</v>
      </c>
      <c r="F46" s="9"/>
      <c r="G46" s="9" t="s">
        <v>212</v>
      </c>
      <c r="H46" s="9" t="s">
        <v>296</v>
      </c>
      <c r="I46" s="9" t="s">
        <v>152</v>
      </c>
      <c r="J46" s="9"/>
      <c r="K46" s="9" t="s">
        <v>154</v>
      </c>
      <c r="L46" s="11"/>
      <c r="M46" s="11" t="s">
        <v>117</v>
      </c>
      <c r="N46" s="11" t="s">
        <v>97</v>
      </c>
      <c r="O46" s="11" t="s">
        <v>72</v>
      </c>
      <c r="P46" s="11"/>
      <c r="Q46" s="11"/>
      <c r="R46" s="11"/>
      <c r="S46" s="9" t="s">
        <v>117</v>
      </c>
      <c r="T46" s="9" t="s">
        <v>97</v>
      </c>
      <c r="U46" s="9" t="s">
        <v>72</v>
      </c>
    </row>
    <row r="47" customFormat="false" ht="53.7" hidden="false" customHeight="false" outlineLevel="0" collapsed="false">
      <c r="A47" s="9" t="s">
        <v>297</v>
      </c>
      <c r="B47" s="10" t="s">
        <v>34</v>
      </c>
      <c r="C47" s="9" t="s">
        <v>294</v>
      </c>
      <c r="D47" s="9" t="s">
        <v>295</v>
      </c>
      <c r="E47" s="9" t="n">
        <v>4</v>
      </c>
      <c r="F47" s="9"/>
      <c r="G47" s="9" t="s">
        <v>284</v>
      </c>
      <c r="H47" s="9" t="s">
        <v>298</v>
      </c>
      <c r="I47" s="9" t="s">
        <v>152</v>
      </c>
      <c r="J47" s="9"/>
      <c r="K47" s="9" t="s">
        <v>154</v>
      </c>
      <c r="L47" s="11"/>
      <c r="M47" s="11" t="s">
        <v>108</v>
      </c>
      <c r="N47" s="11" t="s">
        <v>65</v>
      </c>
      <c r="O47" s="11" t="s">
        <v>86</v>
      </c>
      <c r="P47" s="11"/>
      <c r="Q47" s="11"/>
      <c r="R47" s="11"/>
      <c r="S47" s="9" t="s">
        <v>108</v>
      </c>
      <c r="T47" s="9" t="s">
        <v>65</v>
      </c>
      <c r="U47" s="9" t="s">
        <v>86</v>
      </c>
    </row>
    <row r="48" customFormat="false" ht="32.8" hidden="false" customHeight="false" outlineLevel="0" collapsed="false">
      <c r="A48" s="9" t="s">
        <v>299</v>
      </c>
      <c r="B48" s="10" t="s">
        <v>34</v>
      </c>
      <c r="C48" s="9" t="s">
        <v>294</v>
      </c>
      <c r="D48" s="9" t="s">
        <v>295</v>
      </c>
      <c r="E48" s="9" t="n">
        <v>5</v>
      </c>
      <c r="F48" s="9"/>
      <c r="G48" s="9" t="s">
        <v>300</v>
      </c>
      <c r="H48" s="9" t="s">
        <v>301</v>
      </c>
      <c r="I48" s="9" t="s">
        <v>152</v>
      </c>
      <c r="J48" s="9"/>
      <c r="K48" s="9" t="s">
        <v>154</v>
      </c>
      <c r="L48" s="11"/>
      <c r="M48" s="11" t="s">
        <v>126</v>
      </c>
      <c r="N48" s="11" t="s">
        <v>65</v>
      </c>
      <c r="O48" s="11" t="s">
        <v>86</v>
      </c>
      <c r="P48" s="11"/>
      <c r="Q48" s="11"/>
      <c r="R48" s="11"/>
      <c r="S48" s="9" t="s">
        <v>126</v>
      </c>
      <c r="T48" s="9" t="s">
        <v>65</v>
      </c>
      <c r="U48" s="9" t="s">
        <v>86</v>
      </c>
    </row>
    <row r="49" customFormat="false" ht="22.35" hidden="false" customHeight="false" outlineLevel="0" collapsed="false">
      <c r="A49" s="9" t="s">
        <v>302</v>
      </c>
      <c r="B49" s="10" t="s">
        <v>34</v>
      </c>
      <c r="C49" s="9" t="s">
        <v>303</v>
      </c>
      <c r="D49" s="9" t="s">
        <v>304</v>
      </c>
      <c r="E49" s="9" t="n">
        <v>7</v>
      </c>
      <c r="F49" s="9"/>
      <c r="G49" s="9" t="s">
        <v>150</v>
      </c>
      <c r="H49" s="9" t="s">
        <v>305</v>
      </c>
      <c r="I49" s="9" t="s">
        <v>152</v>
      </c>
      <c r="J49" s="9"/>
      <c r="K49" s="9" t="s">
        <v>154</v>
      </c>
      <c r="L49" s="11"/>
      <c r="M49" s="11" t="s">
        <v>70</v>
      </c>
      <c r="N49" s="11" t="s">
        <v>65</v>
      </c>
      <c r="O49" s="11" t="s">
        <v>72</v>
      </c>
      <c r="P49" s="11"/>
      <c r="Q49" s="11"/>
      <c r="R49" s="11"/>
      <c r="S49" s="9" t="s">
        <v>70</v>
      </c>
      <c r="T49" s="9" t="s">
        <v>65</v>
      </c>
      <c r="U49" s="9" t="s">
        <v>72</v>
      </c>
    </row>
    <row r="50" customFormat="false" ht="32.8" hidden="false" customHeight="false" outlineLevel="0" collapsed="false">
      <c r="A50" s="9" t="s">
        <v>306</v>
      </c>
      <c r="B50" s="10" t="s">
        <v>34</v>
      </c>
      <c r="C50" s="9" t="s">
        <v>303</v>
      </c>
      <c r="D50" s="9" t="s">
        <v>304</v>
      </c>
      <c r="E50" s="9" t="n">
        <v>7</v>
      </c>
      <c r="F50" s="9"/>
      <c r="G50" s="9" t="s">
        <v>156</v>
      </c>
      <c r="H50" s="9" t="s">
        <v>307</v>
      </c>
      <c r="I50" s="9" t="s">
        <v>152</v>
      </c>
      <c r="J50" s="9"/>
      <c r="K50" s="9" t="s">
        <v>154</v>
      </c>
      <c r="L50" s="11"/>
      <c r="M50" s="11" t="s">
        <v>96</v>
      </c>
      <c r="N50" s="11" t="s">
        <v>65</v>
      </c>
      <c r="O50" s="11" t="s">
        <v>59</v>
      </c>
      <c r="P50" s="11"/>
      <c r="Q50" s="11"/>
      <c r="R50" s="11"/>
      <c r="S50" s="9" t="s">
        <v>96</v>
      </c>
      <c r="T50" s="9" t="s">
        <v>65</v>
      </c>
      <c r="U50" s="9" t="s">
        <v>59</v>
      </c>
    </row>
    <row r="51" customFormat="false" ht="32.8" hidden="false" customHeight="false" outlineLevel="0" collapsed="false">
      <c r="A51" s="9" t="s">
        <v>308</v>
      </c>
      <c r="B51" s="10" t="s">
        <v>34</v>
      </c>
      <c r="C51" s="9" t="s">
        <v>303</v>
      </c>
      <c r="D51" s="9" t="s">
        <v>304</v>
      </c>
      <c r="E51" s="9" t="n">
        <v>8</v>
      </c>
      <c r="F51" s="9"/>
      <c r="G51" s="9" t="s">
        <v>160</v>
      </c>
      <c r="H51" s="9" t="s">
        <v>309</v>
      </c>
      <c r="I51" s="9" t="s">
        <v>185</v>
      </c>
      <c r="J51" s="9"/>
      <c r="K51" s="9" t="s">
        <v>154</v>
      </c>
      <c r="L51" s="11"/>
      <c r="M51" s="11" t="s">
        <v>84</v>
      </c>
      <c r="N51" s="11" t="s">
        <v>109</v>
      </c>
      <c r="O51" s="11" t="s">
        <v>72</v>
      </c>
      <c r="P51" s="11"/>
      <c r="Q51" s="11"/>
      <c r="R51" s="11"/>
      <c r="S51" s="9" t="s">
        <v>84</v>
      </c>
      <c r="T51" s="9" t="s">
        <v>109</v>
      </c>
      <c r="U51" s="9" t="s">
        <v>72</v>
      </c>
    </row>
    <row r="52" customFormat="false" ht="32.8" hidden="false" customHeight="false" outlineLevel="0" collapsed="false">
      <c r="A52" s="9" t="s">
        <v>310</v>
      </c>
      <c r="B52" s="12" t="s">
        <v>35</v>
      </c>
      <c r="C52" s="9" t="s">
        <v>311</v>
      </c>
      <c r="D52" s="9" t="s">
        <v>312</v>
      </c>
      <c r="E52" s="9" t="n">
        <v>3</v>
      </c>
      <c r="F52" s="9"/>
      <c r="G52" s="9" t="s">
        <v>156</v>
      </c>
      <c r="H52" s="9" t="s">
        <v>313</v>
      </c>
      <c r="I52" s="9" t="s">
        <v>185</v>
      </c>
      <c r="J52" s="9"/>
      <c r="K52" s="9" t="s">
        <v>154</v>
      </c>
      <c r="L52" s="11"/>
      <c r="M52" s="11" t="s">
        <v>126</v>
      </c>
      <c r="N52" s="11" t="s">
        <v>65</v>
      </c>
      <c r="O52" s="11" t="s">
        <v>72</v>
      </c>
      <c r="P52" s="11"/>
      <c r="Q52" s="11"/>
      <c r="R52" s="11"/>
      <c r="S52" s="9" t="s">
        <v>126</v>
      </c>
      <c r="T52" s="9" t="s">
        <v>65</v>
      </c>
      <c r="U52" s="9" t="s">
        <v>72</v>
      </c>
    </row>
    <row r="53" customFormat="false" ht="32.8" hidden="false" customHeight="false" outlineLevel="0" collapsed="false">
      <c r="A53" s="9" t="s">
        <v>314</v>
      </c>
      <c r="B53" s="10" t="s">
        <v>34</v>
      </c>
      <c r="C53" s="9" t="s">
        <v>311</v>
      </c>
      <c r="D53" s="9" t="s">
        <v>312</v>
      </c>
      <c r="E53" s="9" t="n">
        <v>4</v>
      </c>
      <c r="F53" s="9"/>
      <c r="G53" s="9" t="s">
        <v>180</v>
      </c>
      <c r="H53" s="9" t="s">
        <v>315</v>
      </c>
      <c r="I53" s="9" t="s">
        <v>152</v>
      </c>
      <c r="J53" s="9"/>
      <c r="K53" s="9" t="s">
        <v>154</v>
      </c>
      <c r="L53" s="11"/>
      <c r="M53" s="11" t="s">
        <v>70</v>
      </c>
      <c r="N53" s="11" t="s">
        <v>104</v>
      </c>
      <c r="O53" s="11" t="s">
        <v>59</v>
      </c>
      <c r="P53" s="11"/>
      <c r="Q53" s="11"/>
      <c r="R53" s="11"/>
      <c r="S53" s="9" t="s">
        <v>70</v>
      </c>
      <c r="T53" s="9" t="s">
        <v>104</v>
      </c>
      <c r="U53" s="9" t="s">
        <v>59</v>
      </c>
    </row>
    <row r="54" customFormat="false" ht="32.8" hidden="false" customHeight="false" outlineLevel="0" collapsed="false">
      <c r="A54" s="9" t="s">
        <v>316</v>
      </c>
      <c r="B54" s="10" t="s">
        <v>34</v>
      </c>
      <c r="C54" s="9" t="s">
        <v>311</v>
      </c>
      <c r="D54" s="9" t="s">
        <v>312</v>
      </c>
      <c r="E54" s="9" t="n">
        <v>4</v>
      </c>
      <c r="F54" s="9"/>
      <c r="G54" s="9" t="s">
        <v>183</v>
      </c>
      <c r="H54" s="9" t="s">
        <v>315</v>
      </c>
      <c r="I54" s="9" t="s">
        <v>152</v>
      </c>
      <c r="J54" s="9"/>
      <c r="K54" s="9" t="s">
        <v>154</v>
      </c>
      <c r="L54" s="11"/>
      <c r="M54" s="11" t="s">
        <v>70</v>
      </c>
      <c r="N54" s="11" t="s">
        <v>109</v>
      </c>
      <c r="O54" s="11" t="s">
        <v>59</v>
      </c>
      <c r="P54" s="11"/>
      <c r="Q54" s="11"/>
      <c r="R54" s="11"/>
      <c r="S54" s="9" t="s">
        <v>70</v>
      </c>
      <c r="T54" s="9" t="s">
        <v>109</v>
      </c>
      <c r="U54" s="9" t="s">
        <v>59</v>
      </c>
    </row>
    <row r="55" customFormat="false" ht="32.8" hidden="false" customHeight="false" outlineLevel="0" collapsed="false">
      <c r="A55" s="9" t="s">
        <v>317</v>
      </c>
      <c r="B55" s="12" t="s">
        <v>35</v>
      </c>
      <c r="C55" s="9" t="s">
        <v>311</v>
      </c>
      <c r="D55" s="9" t="s">
        <v>312</v>
      </c>
      <c r="E55" s="9" t="n">
        <v>4</v>
      </c>
      <c r="F55" s="9"/>
      <c r="G55" s="9" t="s">
        <v>198</v>
      </c>
      <c r="H55" s="9" t="s">
        <v>318</v>
      </c>
      <c r="I55" s="9" t="s">
        <v>185</v>
      </c>
      <c r="J55" s="9"/>
      <c r="K55" s="9" t="s">
        <v>154</v>
      </c>
      <c r="L55" s="11"/>
      <c r="M55" s="11" t="s">
        <v>96</v>
      </c>
      <c r="N55" s="11" t="s">
        <v>65</v>
      </c>
      <c r="O55" s="11" t="s">
        <v>59</v>
      </c>
      <c r="P55" s="11"/>
      <c r="Q55" s="11"/>
      <c r="R55" s="11"/>
      <c r="S55" s="9" t="s">
        <v>96</v>
      </c>
      <c r="T55" s="9" t="s">
        <v>65</v>
      </c>
      <c r="U55" s="9" t="s">
        <v>59</v>
      </c>
    </row>
    <row r="56" customFormat="false" ht="22.35" hidden="false" customHeight="false" outlineLevel="0" collapsed="false">
      <c r="A56" s="9" t="s">
        <v>319</v>
      </c>
      <c r="B56" s="12" t="s">
        <v>35</v>
      </c>
      <c r="C56" s="9" t="s">
        <v>320</v>
      </c>
      <c r="D56" s="9" t="s">
        <v>321</v>
      </c>
      <c r="E56" s="9" t="n">
        <v>4</v>
      </c>
      <c r="F56" s="9"/>
      <c r="G56" s="9" t="s">
        <v>150</v>
      </c>
      <c r="H56" s="9" t="s">
        <v>322</v>
      </c>
      <c r="I56" s="9" t="s">
        <v>152</v>
      </c>
      <c r="J56" s="9"/>
      <c r="K56" s="9" t="s">
        <v>154</v>
      </c>
      <c r="L56" s="11"/>
      <c r="M56" s="11" t="s">
        <v>96</v>
      </c>
      <c r="N56" s="11" t="s">
        <v>65</v>
      </c>
      <c r="O56" s="11" t="s">
        <v>59</v>
      </c>
      <c r="P56" s="11"/>
      <c r="Q56" s="11"/>
      <c r="R56" s="11"/>
      <c r="S56" s="9" t="s">
        <v>96</v>
      </c>
      <c r="T56" s="9" t="s">
        <v>65</v>
      </c>
      <c r="U56" s="9" t="s">
        <v>59</v>
      </c>
    </row>
    <row r="57" customFormat="false" ht="43.25" hidden="false" customHeight="false" outlineLevel="0" collapsed="false">
      <c r="A57" s="9" t="s">
        <v>323</v>
      </c>
      <c r="B57" s="10" t="s">
        <v>34</v>
      </c>
      <c r="C57" s="9" t="s">
        <v>320</v>
      </c>
      <c r="D57" s="9" t="s">
        <v>321</v>
      </c>
      <c r="E57" s="9" t="n">
        <v>4</v>
      </c>
      <c r="F57" s="9"/>
      <c r="G57" s="9" t="s">
        <v>160</v>
      </c>
      <c r="H57" s="9" t="s">
        <v>324</v>
      </c>
      <c r="I57" s="9" t="s">
        <v>152</v>
      </c>
      <c r="J57" s="9"/>
      <c r="K57" s="9" t="s">
        <v>154</v>
      </c>
      <c r="L57" s="11"/>
      <c r="M57" s="11" t="s">
        <v>57</v>
      </c>
      <c r="N57" s="11" t="s">
        <v>118</v>
      </c>
      <c r="O57" s="11" t="s">
        <v>72</v>
      </c>
      <c r="P57" s="11"/>
      <c r="Q57" s="11"/>
      <c r="R57" s="11"/>
      <c r="S57" s="9" t="s">
        <v>57</v>
      </c>
      <c r="T57" s="9" t="s">
        <v>118</v>
      </c>
      <c r="U57" s="9" t="s">
        <v>72</v>
      </c>
    </row>
    <row r="58" customFormat="false" ht="32.8" hidden="false" customHeight="false" outlineLevel="0" collapsed="false">
      <c r="A58" s="9" t="s">
        <v>325</v>
      </c>
      <c r="B58" s="12" t="s">
        <v>35</v>
      </c>
      <c r="C58" s="9" t="s">
        <v>320</v>
      </c>
      <c r="D58" s="9" t="s">
        <v>321</v>
      </c>
      <c r="E58" s="9" t="n">
        <v>5</v>
      </c>
      <c r="F58" s="9"/>
      <c r="G58" s="9" t="s">
        <v>206</v>
      </c>
      <c r="H58" s="9" t="s">
        <v>326</v>
      </c>
      <c r="I58" s="9" t="s">
        <v>185</v>
      </c>
      <c r="J58" s="9"/>
      <c r="K58" s="9" t="s">
        <v>154</v>
      </c>
      <c r="L58" s="11"/>
      <c r="M58" s="11" t="s">
        <v>126</v>
      </c>
      <c r="N58" s="11" t="s">
        <v>65</v>
      </c>
      <c r="O58" s="11" t="s">
        <v>72</v>
      </c>
      <c r="P58" s="11"/>
      <c r="Q58" s="11"/>
      <c r="R58" s="11"/>
      <c r="S58" s="9" t="s">
        <v>126</v>
      </c>
      <c r="T58" s="9" t="s">
        <v>65</v>
      </c>
      <c r="U58" s="9" t="s">
        <v>72</v>
      </c>
    </row>
    <row r="59" customFormat="false" ht="32.8" hidden="false" customHeight="false" outlineLevel="0" collapsed="false">
      <c r="A59" s="9" t="s">
        <v>327</v>
      </c>
      <c r="B59" s="10" t="s">
        <v>34</v>
      </c>
      <c r="C59" s="9" t="s">
        <v>328</v>
      </c>
      <c r="D59" s="9" t="s">
        <v>329</v>
      </c>
      <c r="E59" s="9" t="n">
        <v>5</v>
      </c>
      <c r="F59" s="9"/>
      <c r="G59" s="9" t="s">
        <v>150</v>
      </c>
      <c r="H59" s="9" t="s">
        <v>330</v>
      </c>
      <c r="I59" s="9" t="s">
        <v>152</v>
      </c>
      <c r="J59" s="9"/>
      <c r="K59" s="9" t="s">
        <v>154</v>
      </c>
      <c r="L59" s="11"/>
      <c r="M59" s="11" t="s">
        <v>57</v>
      </c>
      <c r="N59" s="11" t="s">
        <v>118</v>
      </c>
      <c r="O59" s="11" t="s">
        <v>72</v>
      </c>
      <c r="P59" s="11"/>
      <c r="Q59" s="11"/>
      <c r="R59" s="11"/>
      <c r="S59" s="9" t="s">
        <v>57</v>
      </c>
      <c r="T59" s="9" t="s">
        <v>118</v>
      </c>
      <c r="U59" s="9" t="s">
        <v>72</v>
      </c>
    </row>
    <row r="60" customFormat="false" ht="32.8" hidden="false" customHeight="false" outlineLevel="0" collapsed="false">
      <c r="A60" s="9" t="s">
        <v>331</v>
      </c>
      <c r="B60" s="12" t="s">
        <v>35</v>
      </c>
      <c r="C60" s="9" t="s">
        <v>328</v>
      </c>
      <c r="D60" s="9" t="s">
        <v>329</v>
      </c>
      <c r="E60" s="9" t="n">
        <v>7</v>
      </c>
      <c r="F60" s="9"/>
      <c r="G60" s="9" t="s">
        <v>332</v>
      </c>
      <c r="H60" s="9" t="s">
        <v>333</v>
      </c>
      <c r="I60" s="9" t="s">
        <v>185</v>
      </c>
      <c r="J60" s="9"/>
      <c r="K60" s="9" t="s">
        <v>154</v>
      </c>
      <c r="L60" s="11"/>
      <c r="M60" s="11" t="s">
        <v>120</v>
      </c>
      <c r="N60" s="11" t="s">
        <v>65</v>
      </c>
      <c r="O60" s="11" t="s">
        <v>72</v>
      </c>
      <c r="P60" s="11"/>
      <c r="Q60" s="11"/>
      <c r="R60" s="11"/>
      <c r="S60" s="9" t="s">
        <v>120</v>
      </c>
      <c r="T60" s="9" t="s">
        <v>65</v>
      </c>
      <c r="U60" s="9" t="s">
        <v>72</v>
      </c>
    </row>
    <row r="61" customFormat="false" ht="32.8" hidden="false" customHeight="false" outlineLevel="0" collapsed="false">
      <c r="A61" s="9" t="s">
        <v>334</v>
      </c>
      <c r="B61" s="12" t="s">
        <v>35</v>
      </c>
      <c r="C61" s="9" t="s">
        <v>335</v>
      </c>
      <c r="D61" s="9" t="s">
        <v>336</v>
      </c>
      <c r="E61" s="9" t="n">
        <v>1</v>
      </c>
      <c r="F61" s="9"/>
      <c r="G61" s="9" t="s">
        <v>180</v>
      </c>
      <c r="H61" s="9" t="s">
        <v>337</v>
      </c>
      <c r="I61" s="9" t="s">
        <v>152</v>
      </c>
      <c r="J61" s="9"/>
      <c r="K61" s="9" t="s">
        <v>154</v>
      </c>
      <c r="L61" s="11"/>
      <c r="M61" s="11" t="s">
        <v>126</v>
      </c>
      <c r="N61" s="11" t="s">
        <v>65</v>
      </c>
      <c r="O61" s="11" t="s">
        <v>59</v>
      </c>
      <c r="P61" s="11"/>
      <c r="Q61" s="11"/>
      <c r="R61" s="11"/>
      <c r="S61" s="9" t="s">
        <v>126</v>
      </c>
      <c r="T61" s="9" t="s">
        <v>65</v>
      </c>
      <c r="U61" s="9" t="s">
        <v>59</v>
      </c>
    </row>
    <row r="62" customFormat="false" ht="32.8" hidden="false" customHeight="false" outlineLevel="0" collapsed="false">
      <c r="A62" s="9" t="s">
        <v>338</v>
      </c>
      <c r="B62" s="12" t="s">
        <v>35</v>
      </c>
      <c r="C62" s="9" t="s">
        <v>335</v>
      </c>
      <c r="D62" s="9" t="s">
        <v>336</v>
      </c>
      <c r="E62" s="9" t="n">
        <v>1</v>
      </c>
      <c r="F62" s="9"/>
      <c r="G62" s="9" t="s">
        <v>233</v>
      </c>
      <c r="H62" s="9" t="s">
        <v>339</v>
      </c>
      <c r="I62" s="9" t="s">
        <v>152</v>
      </c>
      <c r="J62" s="9"/>
      <c r="K62" s="9" t="s">
        <v>154</v>
      </c>
      <c r="L62" s="11"/>
      <c r="M62" s="11" t="s">
        <v>123</v>
      </c>
      <c r="N62" s="11" t="s">
        <v>65</v>
      </c>
      <c r="O62" s="11" t="s">
        <v>59</v>
      </c>
      <c r="P62" s="11"/>
      <c r="Q62" s="11"/>
      <c r="R62" s="11"/>
      <c r="S62" s="9" t="s">
        <v>123</v>
      </c>
      <c r="T62" s="9" t="s">
        <v>65</v>
      </c>
      <c r="U62" s="9" t="s">
        <v>59</v>
      </c>
    </row>
    <row r="63" customFormat="false" ht="32.8" hidden="false" customHeight="false" outlineLevel="0" collapsed="false">
      <c r="A63" s="9" t="s">
        <v>340</v>
      </c>
      <c r="B63" s="10" t="s">
        <v>34</v>
      </c>
      <c r="C63" s="9" t="s">
        <v>335</v>
      </c>
      <c r="D63" s="9" t="s">
        <v>336</v>
      </c>
      <c r="E63" s="9" t="n">
        <v>1</v>
      </c>
      <c r="F63" s="9"/>
      <c r="G63" s="9" t="s">
        <v>341</v>
      </c>
      <c r="H63" s="9" t="s">
        <v>342</v>
      </c>
      <c r="I63" s="9" t="s">
        <v>152</v>
      </c>
      <c r="J63" s="9"/>
      <c r="K63" s="9" t="s">
        <v>154</v>
      </c>
      <c r="L63" s="11"/>
      <c r="M63" s="11" t="s">
        <v>117</v>
      </c>
      <c r="N63" s="11" t="s">
        <v>97</v>
      </c>
      <c r="O63" s="11" t="s">
        <v>59</v>
      </c>
      <c r="P63" s="11"/>
      <c r="Q63" s="11"/>
      <c r="R63" s="11"/>
      <c r="S63" s="9" t="s">
        <v>117</v>
      </c>
      <c r="T63" s="9" t="s">
        <v>97</v>
      </c>
      <c r="U63" s="9" t="s">
        <v>59</v>
      </c>
    </row>
    <row r="64" customFormat="false" ht="32.8" hidden="false" customHeight="false" outlineLevel="0" collapsed="false">
      <c r="A64" s="9" t="s">
        <v>343</v>
      </c>
      <c r="B64" s="12" t="s">
        <v>35</v>
      </c>
      <c r="C64" s="9" t="s">
        <v>335</v>
      </c>
      <c r="D64" s="9" t="s">
        <v>336</v>
      </c>
      <c r="E64" s="9" t="n">
        <v>2</v>
      </c>
      <c r="F64" s="9"/>
      <c r="G64" s="9" t="s">
        <v>252</v>
      </c>
      <c r="H64" s="9" t="s">
        <v>344</v>
      </c>
      <c r="I64" s="9" t="s">
        <v>152</v>
      </c>
      <c r="J64" s="9"/>
      <c r="K64" s="9" t="s">
        <v>154</v>
      </c>
      <c r="L64" s="11"/>
      <c r="M64" s="11" t="s">
        <v>70</v>
      </c>
      <c r="N64" s="11" t="s">
        <v>65</v>
      </c>
      <c r="O64" s="11" t="s">
        <v>59</v>
      </c>
      <c r="P64" s="11"/>
      <c r="Q64" s="11"/>
      <c r="R64" s="11"/>
      <c r="S64" s="9" t="s">
        <v>70</v>
      </c>
      <c r="T64" s="9" t="s">
        <v>65</v>
      </c>
      <c r="U64" s="9" t="s">
        <v>59</v>
      </c>
    </row>
    <row r="65" customFormat="false" ht="32.8" hidden="false" customHeight="false" outlineLevel="0" collapsed="false">
      <c r="A65" s="9" t="s">
        <v>345</v>
      </c>
      <c r="B65" s="12" t="s">
        <v>35</v>
      </c>
      <c r="C65" s="9" t="s">
        <v>335</v>
      </c>
      <c r="D65" s="9" t="s">
        <v>336</v>
      </c>
      <c r="E65" s="9" t="n">
        <v>3</v>
      </c>
      <c r="F65" s="9"/>
      <c r="G65" s="9" t="s">
        <v>183</v>
      </c>
      <c r="H65" s="9" t="s">
        <v>346</v>
      </c>
      <c r="I65" s="9" t="s">
        <v>152</v>
      </c>
      <c r="J65" s="9"/>
      <c r="K65" s="9" t="s">
        <v>154</v>
      </c>
      <c r="L65" s="11"/>
      <c r="M65" s="11" t="s">
        <v>126</v>
      </c>
      <c r="N65" s="11" t="s">
        <v>65</v>
      </c>
      <c r="O65" s="11" t="s">
        <v>59</v>
      </c>
      <c r="P65" s="11"/>
      <c r="Q65" s="11"/>
      <c r="R65" s="11"/>
      <c r="S65" s="9" t="s">
        <v>126</v>
      </c>
      <c r="T65" s="9" t="s">
        <v>65</v>
      </c>
      <c r="U65" s="9" t="s">
        <v>59</v>
      </c>
    </row>
    <row r="66" customFormat="false" ht="32.8" hidden="false" customHeight="false" outlineLevel="0" collapsed="false">
      <c r="A66" s="9" t="s">
        <v>347</v>
      </c>
      <c r="B66" s="12" t="s">
        <v>35</v>
      </c>
      <c r="C66" s="9" t="s">
        <v>335</v>
      </c>
      <c r="D66" s="9" t="s">
        <v>336</v>
      </c>
      <c r="E66" s="9" t="n">
        <v>3</v>
      </c>
      <c r="F66" s="9"/>
      <c r="G66" s="9" t="s">
        <v>260</v>
      </c>
      <c r="H66" s="9" t="s">
        <v>348</v>
      </c>
      <c r="I66" s="9" t="s">
        <v>152</v>
      </c>
      <c r="J66" s="9"/>
      <c r="K66" s="9" t="s">
        <v>154</v>
      </c>
      <c r="L66" s="11"/>
      <c r="M66" s="11" t="s">
        <v>126</v>
      </c>
      <c r="N66" s="11" t="s">
        <v>65</v>
      </c>
      <c r="O66" s="11" t="s">
        <v>59</v>
      </c>
      <c r="P66" s="11"/>
      <c r="Q66" s="11"/>
      <c r="R66" s="11"/>
      <c r="S66" s="9" t="s">
        <v>126</v>
      </c>
      <c r="T66" s="9" t="s">
        <v>65</v>
      </c>
      <c r="U66" s="9" t="s">
        <v>59</v>
      </c>
    </row>
    <row r="67" customFormat="false" ht="32.8" hidden="false" customHeight="false" outlineLevel="0" collapsed="false">
      <c r="A67" s="9" t="s">
        <v>349</v>
      </c>
      <c r="B67" s="12" t="s">
        <v>35</v>
      </c>
      <c r="C67" s="9" t="s">
        <v>335</v>
      </c>
      <c r="D67" s="9" t="s">
        <v>336</v>
      </c>
      <c r="E67" s="9" t="n">
        <v>6</v>
      </c>
      <c r="F67" s="9"/>
      <c r="G67" s="9" t="s">
        <v>223</v>
      </c>
      <c r="H67" s="9" t="s">
        <v>350</v>
      </c>
      <c r="I67" s="9" t="s">
        <v>152</v>
      </c>
      <c r="J67" s="9"/>
      <c r="K67" s="9" t="s">
        <v>154</v>
      </c>
      <c r="L67" s="11"/>
      <c r="M67" s="11" t="s">
        <v>126</v>
      </c>
      <c r="N67" s="11" t="s">
        <v>65</v>
      </c>
      <c r="O67" s="11" t="s">
        <v>86</v>
      </c>
      <c r="P67" s="11"/>
      <c r="Q67" s="11"/>
      <c r="R67" s="11"/>
      <c r="S67" s="9" t="s">
        <v>126</v>
      </c>
      <c r="T67" s="9" t="s">
        <v>65</v>
      </c>
      <c r="U67" s="9" t="s">
        <v>86</v>
      </c>
    </row>
    <row r="68" customFormat="false" ht="32.8" hidden="false" customHeight="false" outlineLevel="0" collapsed="false">
      <c r="A68" s="9" t="s">
        <v>351</v>
      </c>
      <c r="B68" s="12" t="s">
        <v>35</v>
      </c>
      <c r="C68" s="9" t="s">
        <v>335</v>
      </c>
      <c r="D68" s="9" t="s">
        <v>336</v>
      </c>
      <c r="E68" s="9" t="n">
        <v>10</v>
      </c>
      <c r="F68" s="9"/>
      <c r="G68" s="9" t="s">
        <v>352</v>
      </c>
      <c r="H68" s="9" t="s">
        <v>353</v>
      </c>
      <c r="I68" s="9" t="s">
        <v>152</v>
      </c>
      <c r="J68" s="9"/>
      <c r="K68" s="9" t="s">
        <v>154</v>
      </c>
      <c r="L68" s="11"/>
      <c r="M68" s="11" t="s">
        <v>123</v>
      </c>
      <c r="N68" s="11" t="s">
        <v>65</v>
      </c>
      <c r="O68" s="11" t="s">
        <v>72</v>
      </c>
      <c r="P68" s="11"/>
      <c r="Q68" s="11"/>
      <c r="R68" s="11"/>
      <c r="S68" s="9" t="s">
        <v>123</v>
      </c>
      <c r="T68" s="9" t="s">
        <v>65</v>
      </c>
      <c r="U68" s="9" t="s">
        <v>72</v>
      </c>
    </row>
    <row r="69" customFormat="false" ht="22.35" hidden="false" customHeight="false" outlineLevel="0" collapsed="false">
      <c r="A69" s="9" t="s">
        <v>354</v>
      </c>
      <c r="B69" s="12" t="s">
        <v>35</v>
      </c>
      <c r="C69" s="9" t="s">
        <v>335</v>
      </c>
      <c r="D69" s="9" t="s">
        <v>336</v>
      </c>
      <c r="E69" s="9" t="n">
        <v>10</v>
      </c>
      <c r="F69" s="9"/>
      <c r="G69" s="9" t="s">
        <v>355</v>
      </c>
      <c r="H69" s="9" t="s">
        <v>356</v>
      </c>
      <c r="I69" s="9" t="s">
        <v>152</v>
      </c>
      <c r="J69" s="9"/>
      <c r="K69" s="9" t="s">
        <v>154</v>
      </c>
      <c r="L69" s="11"/>
      <c r="M69" s="11" t="s">
        <v>123</v>
      </c>
      <c r="N69" s="11" t="s">
        <v>65</v>
      </c>
      <c r="O69" s="11" t="s">
        <v>72</v>
      </c>
      <c r="P69" s="11"/>
      <c r="Q69" s="11"/>
      <c r="R69" s="11"/>
      <c r="S69" s="9" t="s">
        <v>123</v>
      </c>
      <c r="T69" s="9" t="s">
        <v>65</v>
      </c>
      <c r="U69" s="9" t="s">
        <v>72</v>
      </c>
    </row>
    <row r="70" customFormat="false" ht="32.8" hidden="false" customHeight="false" outlineLevel="0" collapsed="false">
      <c r="A70" s="9" t="s">
        <v>357</v>
      </c>
      <c r="B70" s="12" t="s">
        <v>35</v>
      </c>
      <c r="C70" s="9" t="s">
        <v>335</v>
      </c>
      <c r="D70" s="9" t="s">
        <v>336</v>
      </c>
      <c r="E70" s="9" t="n">
        <v>11</v>
      </c>
      <c r="F70" s="9"/>
      <c r="G70" s="9" t="s">
        <v>358</v>
      </c>
      <c r="H70" s="9" t="s">
        <v>359</v>
      </c>
      <c r="I70" s="9" t="s">
        <v>152</v>
      </c>
      <c r="J70" s="9"/>
      <c r="K70" s="9" t="s">
        <v>154</v>
      </c>
      <c r="L70" s="11"/>
      <c r="M70" s="11" t="s">
        <v>96</v>
      </c>
      <c r="N70" s="11" t="s">
        <v>65</v>
      </c>
      <c r="O70" s="11" t="s">
        <v>86</v>
      </c>
      <c r="P70" s="11"/>
      <c r="Q70" s="11"/>
      <c r="R70" s="11"/>
      <c r="S70" s="9" t="s">
        <v>96</v>
      </c>
      <c r="T70" s="9" t="s">
        <v>65</v>
      </c>
      <c r="U70" s="9" t="s">
        <v>86</v>
      </c>
    </row>
    <row r="71" customFormat="false" ht="32.8" hidden="false" customHeight="false" outlineLevel="0" collapsed="false">
      <c r="A71" s="9" t="s">
        <v>360</v>
      </c>
      <c r="B71" s="10" t="s">
        <v>34</v>
      </c>
      <c r="C71" s="9" t="s">
        <v>335</v>
      </c>
      <c r="D71" s="9" t="s">
        <v>336</v>
      </c>
      <c r="E71" s="9" t="n">
        <v>11</v>
      </c>
      <c r="F71" s="9"/>
      <c r="G71" s="9" t="s">
        <v>361</v>
      </c>
      <c r="H71" s="9" t="s">
        <v>362</v>
      </c>
      <c r="I71" s="9" t="s">
        <v>152</v>
      </c>
      <c r="J71" s="9"/>
      <c r="K71" s="9" t="s">
        <v>154</v>
      </c>
      <c r="L71" s="11"/>
      <c r="M71" s="11" t="s">
        <v>57</v>
      </c>
      <c r="N71" s="11" t="s">
        <v>109</v>
      </c>
      <c r="O71" s="11" t="s">
        <v>86</v>
      </c>
      <c r="P71" s="11"/>
      <c r="Q71" s="11"/>
      <c r="R71" s="11"/>
      <c r="S71" s="9" t="s">
        <v>57</v>
      </c>
      <c r="T71" s="9" t="s">
        <v>109</v>
      </c>
      <c r="U71" s="9" t="s">
        <v>86</v>
      </c>
    </row>
    <row r="72" customFormat="false" ht="32.8" hidden="false" customHeight="false" outlineLevel="0" collapsed="false">
      <c r="A72" s="9" t="s">
        <v>363</v>
      </c>
      <c r="B72" s="12" t="s">
        <v>35</v>
      </c>
      <c r="C72" s="9" t="s">
        <v>364</v>
      </c>
      <c r="D72" s="9" t="s">
        <v>365</v>
      </c>
      <c r="E72" s="9" t="n">
        <v>4</v>
      </c>
      <c r="F72" s="9"/>
      <c r="G72" s="9" t="s">
        <v>284</v>
      </c>
      <c r="H72" s="9" t="s">
        <v>366</v>
      </c>
      <c r="I72" s="9" t="s">
        <v>152</v>
      </c>
      <c r="J72" s="9"/>
      <c r="K72" s="9" t="s">
        <v>154</v>
      </c>
      <c r="L72" s="11"/>
      <c r="M72" s="11" t="s">
        <v>126</v>
      </c>
      <c r="N72" s="11" t="s">
        <v>65</v>
      </c>
      <c r="O72" s="11" t="s">
        <v>72</v>
      </c>
      <c r="P72" s="11"/>
      <c r="Q72" s="11"/>
      <c r="R72" s="11"/>
      <c r="S72" s="9" t="s">
        <v>126</v>
      </c>
      <c r="T72" s="9" t="s">
        <v>65</v>
      </c>
      <c r="U72" s="9" t="s">
        <v>72</v>
      </c>
    </row>
    <row r="73" customFormat="false" ht="43.25" hidden="false" customHeight="false" outlineLevel="0" collapsed="false">
      <c r="A73" s="9" t="s">
        <v>367</v>
      </c>
      <c r="B73" s="12" t="s">
        <v>35</v>
      </c>
      <c r="C73" s="9" t="s">
        <v>368</v>
      </c>
      <c r="D73" s="9" t="s">
        <v>369</v>
      </c>
      <c r="E73" s="9" t="n">
        <v>3</v>
      </c>
      <c r="F73" s="9"/>
      <c r="G73" s="9" t="s">
        <v>284</v>
      </c>
      <c r="H73" s="9" t="s">
        <v>370</v>
      </c>
      <c r="I73" s="9" t="s">
        <v>185</v>
      </c>
      <c r="J73" s="9" t="s">
        <v>371</v>
      </c>
      <c r="K73" s="9" t="s">
        <v>154</v>
      </c>
      <c r="L73" s="11"/>
      <c r="M73" s="11" t="s">
        <v>84</v>
      </c>
      <c r="N73" s="11" t="s">
        <v>65</v>
      </c>
      <c r="O73" s="11" t="s">
        <v>72</v>
      </c>
      <c r="P73" s="11"/>
      <c r="Q73" s="11"/>
      <c r="R73" s="11"/>
      <c r="S73" s="9" t="s">
        <v>84</v>
      </c>
      <c r="T73" s="9" t="s">
        <v>65</v>
      </c>
      <c r="U73" s="9" t="s">
        <v>72</v>
      </c>
    </row>
    <row r="74" customFormat="false" ht="32.8" hidden="false" customHeight="false" outlineLevel="0" collapsed="false">
      <c r="A74" s="9" t="s">
        <v>372</v>
      </c>
      <c r="B74" s="12" t="s">
        <v>35</v>
      </c>
      <c r="C74" s="9" t="s">
        <v>373</v>
      </c>
      <c r="D74" s="9" t="s">
        <v>374</v>
      </c>
      <c r="E74" s="9" t="n">
        <v>10</v>
      </c>
      <c r="F74" s="9"/>
      <c r="G74" s="9" t="s">
        <v>375</v>
      </c>
      <c r="H74" s="9" t="s">
        <v>376</v>
      </c>
      <c r="I74" s="9" t="s">
        <v>152</v>
      </c>
      <c r="J74" s="9"/>
      <c r="K74" s="9" t="s">
        <v>154</v>
      </c>
      <c r="L74" s="11"/>
      <c r="M74" s="11" t="s">
        <v>84</v>
      </c>
      <c r="N74" s="11" t="s">
        <v>65</v>
      </c>
      <c r="O74" s="11" t="s">
        <v>86</v>
      </c>
      <c r="P74" s="11"/>
      <c r="Q74" s="11"/>
      <c r="R74" s="11"/>
      <c r="S74" s="9" t="s">
        <v>84</v>
      </c>
      <c r="T74" s="9" t="s">
        <v>65</v>
      </c>
      <c r="U74" s="9" t="s">
        <v>86</v>
      </c>
    </row>
    <row r="75" customFormat="false" ht="22.35" hidden="false" customHeight="false" outlineLevel="0" collapsed="false">
      <c r="A75" s="9" t="s">
        <v>377</v>
      </c>
      <c r="B75" s="12" t="s">
        <v>35</v>
      </c>
      <c r="C75" s="9" t="s">
        <v>373</v>
      </c>
      <c r="D75" s="9" t="s">
        <v>374</v>
      </c>
      <c r="E75" s="9" t="n">
        <v>10</v>
      </c>
      <c r="F75" s="9"/>
      <c r="G75" s="9" t="s">
        <v>276</v>
      </c>
      <c r="H75" s="9" t="s">
        <v>378</v>
      </c>
      <c r="I75" s="9" t="s">
        <v>152</v>
      </c>
      <c r="J75" s="9"/>
      <c r="K75" s="9" t="s">
        <v>154</v>
      </c>
      <c r="L75" s="11"/>
      <c r="M75" s="11" t="s">
        <v>96</v>
      </c>
      <c r="N75" s="11" t="s">
        <v>65</v>
      </c>
      <c r="O75" s="11" t="s">
        <v>86</v>
      </c>
      <c r="P75" s="11"/>
      <c r="Q75" s="11"/>
      <c r="R75" s="11"/>
      <c r="S75" s="9" t="s">
        <v>96</v>
      </c>
      <c r="T75" s="9" t="s">
        <v>65</v>
      </c>
      <c r="U75" s="9" t="s">
        <v>86</v>
      </c>
    </row>
    <row r="76" customFormat="false" ht="32.8" hidden="false" customHeight="false" outlineLevel="0" collapsed="false">
      <c r="A76" s="9" t="s">
        <v>379</v>
      </c>
      <c r="B76" s="10" t="s">
        <v>34</v>
      </c>
      <c r="C76" s="9" t="s">
        <v>373</v>
      </c>
      <c r="D76" s="9" t="s">
        <v>374</v>
      </c>
      <c r="E76" s="9" t="n">
        <v>10</v>
      </c>
      <c r="F76" s="9"/>
      <c r="G76" s="9" t="s">
        <v>380</v>
      </c>
      <c r="H76" s="9" t="s">
        <v>381</v>
      </c>
      <c r="I76" s="9" t="s">
        <v>152</v>
      </c>
      <c r="J76" s="9"/>
      <c r="K76" s="9" t="s">
        <v>154</v>
      </c>
      <c r="L76" s="11"/>
      <c r="M76" s="11" t="s">
        <v>123</v>
      </c>
      <c r="N76" s="11" t="s">
        <v>97</v>
      </c>
      <c r="O76" s="11" t="s">
        <v>72</v>
      </c>
      <c r="P76" s="11"/>
      <c r="Q76" s="11"/>
      <c r="R76" s="11"/>
      <c r="S76" s="9" t="s">
        <v>123</v>
      </c>
      <c r="T76" s="9" t="s">
        <v>97</v>
      </c>
      <c r="U76" s="9" t="s">
        <v>72</v>
      </c>
    </row>
    <row r="77" customFormat="false" ht="32.8" hidden="false" customHeight="false" outlineLevel="0" collapsed="false">
      <c r="A77" s="9" t="s">
        <v>382</v>
      </c>
      <c r="B77" s="10" t="s">
        <v>34</v>
      </c>
      <c r="C77" s="9" t="s">
        <v>373</v>
      </c>
      <c r="D77" s="9" t="s">
        <v>374</v>
      </c>
      <c r="E77" s="9" t="n">
        <v>11</v>
      </c>
      <c r="F77" s="9"/>
      <c r="G77" s="9" t="s">
        <v>383</v>
      </c>
      <c r="H77" s="9" t="s">
        <v>384</v>
      </c>
      <c r="I77" s="9" t="s">
        <v>152</v>
      </c>
      <c r="J77" s="9"/>
      <c r="K77" s="9" t="s">
        <v>154</v>
      </c>
      <c r="L77" s="11"/>
      <c r="M77" s="11" t="s">
        <v>123</v>
      </c>
      <c r="N77" s="11" t="s">
        <v>97</v>
      </c>
      <c r="O77" s="11" t="s">
        <v>86</v>
      </c>
      <c r="P77" s="11"/>
      <c r="Q77" s="11"/>
      <c r="R77" s="11"/>
      <c r="S77" s="9" t="s">
        <v>123</v>
      </c>
      <c r="T77" s="9" t="s">
        <v>97</v>
      </c>
      <c r="U77" s="9" t="s">
        <v>86</v>
      </c>
    </row>
    <row r="78" customFormat="false" ht="43.25" hidden="false" customHeight="false" outlineLevel="0" collapsed="false">
      <c r="A78" s="9" t="s">
        <v>385</v>
      </c>
      <c r="B78" s="12" t="s">
        <v>35</v>
      </c>
      <c r="C78" s="9" t="s">
        <v>373</v>
      </c>
      <c r="D78" s="9" t="s">
        <v>374</v>
      </c>
      <c r="E78" s="9" t="n">
        <v>13</v>
      </c>
      <c r="F78" s="9"/>
      <c r="G78" s="9" t="s">
        <v>386</v>
      </c>
      <c r="H78" s="9" t="s">
        <v>387</v>
      </c>
      <c r="I78" s="9" t="s">
        <v>152</v>
      </c>
      <c r="J78" s="9" t="s">
        <v>388</v>
      </c>
      <c r="K78" s="9" t="s">
        <v>154</v>
      </c>
      <c r="L78" s="11"/>
      <c r="M78" s="11" t="s">
        <v>124</v>
      </c>
      <c r="N78" s="11" t="s">
        <v>65</v>
      </c>
      <c r="O78" s="11" t="s">
        <v>72</v>
      </c>
      <c r="P78" s="11"/>
      <c r="Q78" s="11"/>
      <c r="R78" s="11"/>
      <c r="S78" s="9" t="s">
        <v>124</v>
      </c>
      <c r="T78" s="9" t="s">
        <v>65</v>
      </c>
      <c r="U78" s="9" t="s">
        <v>72</v>
      </c>
    </row>
    <row r="79" customFormat="false" ht="43.25" hidden="false" customHeight="false" outlineLevel="0" collapsed="false">
      <c r="A79" s="9" t="s">
        <v>389</v>
      </c>
      <c r="B79" s="10" t="s">
        <v>34</v>
      </c>
      <c r="C79" s="9" t="s">
        <v>390</v>
      </c>
      <c r="D79" s="9" t="s">
        <v>179</v>
      </c>
      <c r="E79" s="9" t="n">
        <v>5</v>
      </c>
      <c r="F79" s="9"/>
      <c r="G79" s="9" t="s">
        <v>150</v>
      </c>
      <c r="H79" s="9" t="s">
        <v>391</v>
      </c>
      <c r="I79" s="9" t="s">
        <v>152</v>
      </c>
      <c r="J79" s="9"/>
      <c r="K79" s="9" t="s">
        <v>154</v>
      </c>
      <c r="L79" s="11"/>
      <c r="M79" s="11" t="s">
        <v>103</v>
      </c>
      <c r="N79" s="11" t="s">
        <v>113</v>
      </c>
      <c r="O79" s="11" t="s">
        <v>72</v>
      </c>
      <c r="P79" s="11"/>
      <c r="Q79" s="11"/>
      <c r="R79" s="11"/>
      <c r="S79" s="9" t="s">
        <v>103</v>
      </c>
      <c r="T79" s="9" t="s">
        <v>113</v>
      </c>
      <c r="U79" s="9" t="s">
        <v>72</v>
      </c>
    </row>
    <row r="80" customFormat="false" ht="64.15" hidden="false" customHeight="false" outlineLevel="0" collapsed="false">
      <c r="A80" s="9" t="s">
        <v>392</v>
      </c>
      <c r="B80" s="12" t="s">
        <v>35</v>
      </c>
      <c r="C80" s="9" t="s">
        <v>390</v>
      </c>
      <c r="D80" s="9" t="s">
        <v>179</v>
      </c>
      <c r="E80" s="9" t="n">
        <v>6</v>
      </c>
      <c r="F80" s="9"/>
      <c r="G80" s="9" t="s">
        <v>160</v>
      </c>
      <c r="H80" s="9" t="s">
        <v>393</v>
      </c>
      <c r="I80" s="9" t="s">
        <v>185</v>
      </c>
      <c r="J80" s="9" t="s">
        <v>394</v>
      </c>
      <c r="K80" s="9" t="s">
        <v>154</v>
      </c>
      <c r="L80" s="11"/>
      <c r="M80" s="11" t="s">
        <v>124</v>
      </c>
      <c r="N80" s="11" t="s">
        <v>65</v>
      </c>
      <c r="O80" s="11" t="s">
        <v>72</v>
      </c>
      <c r="P80" s="11"/>
      <c r="Q80" s="11"/>
      <c r="R80" s="11"/>
      <c r="S80" s="9" t="s">
        <v>124</v>
      </c>
      <c r="T80" s="9" t="s">
        <v>65</v>
      </c>
      <c r="U80" s="9" t="s">
        <v>72</v>
      </c>
    </row>
    <row r="81" customFormat="false" ht="22.35" hidden="false" customHeight="false" outlineLevel="0" collapsed="false">
      <c r="A81" s="9" t="s">
        <v>395</v>
      </c>
      <c r="B81" s="10" t="s">
        <v>34</v>
      </c>
      <c r="C81" s="9" t="s">
        <v>396</v>
      </c>
      <c r="D81" s="9" t="s">
        <v>397</v>
      </c>
      <c r="E81" s="9" t="n">
        <v>6</v>
      </c>
      <c r="F81" s="9"/>
      <c r="G81" s="9" t="s">
        <v>284</v>
      </c>
      <c r="H81" s="9" t="s">
        <v>398</v>
      </c>
      <c r="I81" s="9" t="s">
        <v>152</v>
      </c>
      <c r="J81" s="9"/>
      <c r="K81" s="9" t="s">
        <v>154</v>
      </c>
      <c r="L81" s="11"/>
      <c r="M81" s="11" t="s">
        <v>117</v>
      </c>
      <c r="N81" s="11" t="s">
        <v>97</v>
      </c>
      <c r="O81" s="11" t="s">
        <v>72</v>
      </c>
      <c r="P81" s="11"/>
      <c r="Q81" s="11"/>
      <c r="R81" s="11"/>
      <c r="S81" s="9" t="s">
        <v>117</v>
      </c>
      <c r="T81" s="9" t="s">
        <v>97</v>
      </c>
      <c r="U81" s="9" t="s">
        <v>72</v>
      </c>
    </row>
    <row r="82" customFormat="false" ht="43.25" hidden="false" customHeight="false" outlineLevel="0" collapsed="false">
      <c r="A82" s="9" t="s">
        <v>399</v>
      </c>
      <c r="B82" s="10" t="s">
        <v>34</v>
      </c>
      <c r="C82" s="9" t="s">
        <v>396</v>
      </c>
      <c r="D82" s="9" t="s">
        <v>397</v>
      </c>
      <c r="E82" s="9" t="n">
        <v>10</v>
      </c>
      <c r="F82" s="9"/>
      <c r="G82" s="9" t="s">
        <v>212</v>
      </c>
      <c r="H82" s="9" t="s">
        <v>400</v>
      </c>
      <c r="I82" s="9" t="s">
        <v>185</v>
      </c>
      <c r="J82" s="9"/>
      <c r="K82" s="9" t="s">
        <v>154</v>
      </c>
      <c r="L82" s="11"/>
      <c r="M82" s="11" t="s">
        <v>123</v>
      </c>
      <c r="N82" s="11" t="s">
        <v>97</v>
      </c>
      <c r="O82" s="11" t="s">
        <v>72</v>
      </c>
      <c r="P82" s="11"/>
      <c r="Q82" s="11"/>
      <c r="R82" s="11"/>
      <c r="S82" s="9" t="s">
        <v>123</v>
      </c>
      <c r="T82" s="9" t="s">
        <v>97</v>
      </c>
      <c r="U82" s="9" t="s">
        <v>72</v>
      </c>
    </row>
    <row r="83" customFormat="false" ht="22.35" hidden="false" customHeight="false" outlineLevel="0" collapsed="false">
      <c r="A83" s="9" t="s">
        <v>401</v>
      </c>
      <c r="B83" s="10" t="s">
        <v>34</v>
      </c>
      <c r="C83" s="9" t="s">
        <v>396</v>
      </c>
      <c r="D83" s="9" t="s">
        <v>397</v>
      </c>
      <c r="E83" s="9" t="n">
        <v>11</v>
      </c>
      <c r="F83" s="9"/>
      <c r="G83" s="9" t="s">
        <v>206</v>
      </c>
      <c r="H83" s="9" t="s">
        <v>402</v>
      </c>
      <c r="I83" s="9" t="s">
        <v>152</v>
      </c>
      <c r="J83" s="9"/>
      <c r="K83" s="9" t="s">
        <v>154</v>
      </c>
      <c r="L83" s="11"/>
      <c r="M83" s="11" t="s">
        <v>117</v>
      </c>
      <c r="N83" s="11" t="s">
        <v>97</v>
      </c>
      <c r="O83" s="11" t="s">
        <v>86</v>
      </c>
      <c r="P83" s="11"/>
      <c r="Q83" s="11"/>
      <c r="R83" s="11"/>
      <c r="S83" s="9" t="s">
        <v>117</v>
      </c>
      <c r="T83" s="9" t="s">
        <v>97</v>
      </c>
      <c r="U83" s="9" t="s">
        <v>86</v>
      </c>
    </row>
    <row r="84" customFormat="false" ht="32.8" hidden="false" customHeight="false" outlineLevel="0" collapsed="false">
      <c r="A84" s="9" t="s">
        <v>403</v>
      </c>
      <c r="B84" s="12" t="s">
        <v>35</v>
      </c>
      <c r="C84" s="9" t="s">
        <v>396</v>
      </c>
      <c r="D84" s="9" t="s">
        <v>397</v>
      </c>
      <c r="E84" s="9" t="n">
        <v>13</v>
      </c>
      <c r="F84" s="9"/>
      <c r="G84" s="9" t="s">
        <v>380</v>
      </c>
      <c r="H84" s="9" t="s">
        <v>404</v>
      </c>
      <c r="I84" s="9" t="s">
        <v>152</v>
      </c>
      <c r="J84" s="9"/>
      <c r="K84" s="9" t="s">
        <v>154</v>
      </c>
      <c r="L84" s="11"/>
      <c r="M84" s="11" t="s">
        <v>112</v>
      </c>
      <c r="N84" s="11" t="s">
        <v>65</v>
      </c>
      <c r="O84" s="11" t="s">
        <v>86</v>
      </c>
      <c r="P84" s="11"/>
      <c r="Q84" s="11"/>
      <c r="R84" s="11"/>
      <c r="S84" s="9" t="s">
        <v>112</v>
      </c>
      <c r="T84" s="9" t="s">
        <v>65</v>
      </c>
      <c r="U84" s="9" t="s">
        <v>86</v>
      </c>
    </row>
    <row r="85" customFormat="false" ht="64.15" hidden="false" customHeight="false" outlineLevel="0" collapsed="false">
      <c r="A85" s="9" t="s">
        <v>405</v>
      </c>
      <c r="B85" s="12" t="s">
        <v>35</v>
      </c>
      <c r="C85" s="9" t="s">
        <v>406</v>
      </c>
      <c r="D85" s="9" t="s">
        <v>407</v>
      </c>
      <c r="E85" s="9" t="n">
        <v>3</v>
      </c>
      <c r="F85" s="9"/>
      <c r="G85" s="9" t="s">
        <v>408</v>
      </c>
      <c r="H85" s="9" t="s">
        <v>409</v>
      </c>
      <c r="I85" s="9" t="s">
        <v>152</v>
      </c>
      <c r="J85" s="9" t="s">
        <v>410</v>
      </c>
      <c r="K85" s="9" t="s">
        <v>154</v>
      </c>
      <c r="L85" s="11"/>
      <c r="M85" s="11" t="s">
        <v>57</v>
      </c>
      <c r="N85" s="11" t="s">
        <v>124</v>
      </c>
      <c r="O85" s="11" t="s">
        <v>72</v>
      </c>
      <c r="P85" s="11"/>
      <c r="Q85" s="11"/>
      <c r="R85" s="11"/>
      <c r="S85" s="9" t="s">
        <v>57</v>
      </c>
      <c r="T85" s="9" t="s">
        <v>124</v>
      </c>
      <c r="U85" s="9" t="s">
        <v>72</v>
      </c>
    </row>
    <row r="86" customFormat="false" ht="43.25" hidden="false" customHeight="false" outlineLevel="0" collapsed="false">
      <c r="A86" s="9" t="s">
        <v>411</v>
      </c>
      <c r="B86" s="12" t="s">
        <v>35</v>
      </c>
      <c r="C86" s="9" t="s">
        <v>406</v>
      </c>
      <c r="D86" s="9" t="s">
        <v>407</v>
      </c>
      <c r="E86" s="9" t="n">
        <v>3</v>
      </c>
      <c r="F86" s="9"/>
      <c r="G86" s="9" t="s">
        <v>183</v>
      </c>
      <c r="H86" s="9" t="s">
        <v>412</v>
      </c>
      <c r="I86" s="9" t="s">
        <v>152</v>
      </c>
      <c r="J86" s="9" t="s">
        <v>413</v>
      </c>
      <c r="K86" s="9" t="s">
        <v>154</v>
      </c>
      <c r="L86" s="11"/>
      <c r="M86" s="11" t="s">
        <v>103</v>
      </c>
      <c r="N86" s="11" t="s">
        <v>124</v>
      </c>
      <c r="O86" s="11" t="s">
        <v>72</v>
      </c>
      <c r="P86" s="11"/>
      <c r="Q86" s="11"/>
      <c r="R86" s="11"/>
      <c r="S86" s="9" t="s">
        <v>103</v>
      </c>
      <c r="T86" s="9" t="s">
        <v>124</v>
      </c>
      <c r="U86" s="9" t="s">
        <v>72</v>
      </c>
    </row>
    <row r="87" customFormat="false" ht="32.8" hidden="false" customHeight="false" outlineLevel="0" collapsed="false">
      <c r="A87" s="9" t="s">
        <v>414</v>
      </c>
      <c r="B87" s="12" t="s">
        <v>35</v>
      </c>
      <c r="C87" s="9" t="s">
        <v>415</v>
      </c>
      <c r="D87" s="9" t="s">
        <v>416</v>
      </c>
      <c r="E87" s="9" t="n">
        <v>3</v>
      </c>
      <c r="F87" s="9"/>
      <c r="G87" s="9" t="s">
        <v>198</v>
      </c>
      <c r="H87" s="9" t="s">
        <v>417</v>
      </c>
      <c r="I87" s="9" t="s">
        <v>152</v>
      </c>
      <c r="J87" s="9" t="s">
        <v>418</v>
      </c>
      <c r="K87" s="9" t="s">
        <v>154</v>
      </c>
      <c r="L87" s="11"/>
      <c r="M87" s="11" t="s">
        <v>96</v>
      </c>
      <c r="N87" s="11" t="s">
        <v>124</v>
      </c>
      <c r="O87" s="11" t="s">
        <v>59</v>
      </c>
      <c r="P87" s="11"/>
      <c r="Q87" s="11"/>
      <c r="R87" s="11"/>
      <c r="S87" s="9" t="s">
        <v>96</v>
      </c>
      <c r="T87" s="9" t="s">
        <v>124</v>
      </c>
      <c r="U87" s="9" t="s">
        <v>59</v>
      </c>
    </row>
    <row r="88" customFormat="false" ht="53.7" hidden="false" customHeight="false" outlineLevel="0" collapsed="false">
      <c r="A88" s="9" t="s">
        <v>419</v>
      </c>
      <c r="B88" s="12" t="s">
        <v>35</v>
      </c>
      <c r="C88" s="9" t="s">
        <v>415</v>
      </c>
      <c r="D88" s="9" t="s">
        <v>416</v>
      </c>
      <c r="E88" s="9" t="n">
        <v>6</v>
      </c>
      <c r="F88" s="9"/>
      <c r="G88" s="9" t="s">
        <v>180</v>
      </c>
      <c r="H88" s="9" t="s">
        <v>420</v>
      </c>
      <c r="I88" s="9" t="s">
        <v>152</v>
      </c>
      <c r="J88" s="9" t="s">
        <v>421</v>
      </c>
      <c r="K88" s="9" t="s">
        <v>154</v>
      </c>
      <c r="L88" s="11"/>
      <c r="M88" s="11" t="s">
        <v>123</v>
      </c>
      <c r="N88" s="11" t="s">
        <v>124</v>
      </c>
      <c r="O88" s="11" t="s">
        <v>72</v>
      </c>
      <c r="P88" s="11"/>
      <c r="Q88" s="11"/>
      <c r="R88" s="11"/>
      <c r="S88" s="9" t="s">
        <v>123</v>
      </c>
      <c r="T88" s="9" t="s">
        <v>124</v>
      </c>
      <c r="U88" s="9" t="s">
        <v>72</v>
      </c>
    </row>
    <row r="89" customFormat="false" ht="32.8" hidden="false" customHeight="false" outlineLevel="0" collapsed="false">
      <c r="A89" s="9" t="s">
        <v>422</v>
      </c>
      <c r="B89" s="12" t="s">
        <v>35</v>
      </c>
      <c r="C89" s="9" t="s">
        <v>415</v>
      </c>
      <c r="D89" s="9" t="s">
        <v>416</v>
      </c>
      <c r="E89" s="9" t="n">
        <v>6</v>
      </c>
      <c r="F89" s="9"/>
      <c r="G89" s="9" t="s">
        <v>183</v>
      </c>
      <c r="H89" s="9" t="s">
        <v>423</v>
      </c>
      <c r="I89" s="9" t="s">
        <v>152</v>
      </c>
      <c r="J89" s="9"/>
      <c r="K89" s="9" t="s">
        <v>154</v>
      </c>
      <c r="L89" s="11"/>
      <c r="M89" s="11" t="s">
        <v>126</v>
      </c>
      <c r="N89" s="11" t="s">
        <v>65</v>
      </c>
      <c r="O89" s="11" t="s">
        <v>59</v>
      </c>
      <c r="P89" s="11"/>
      <c r="Q89" s="11"/>
      <c r="R89" s="11"/>
      <c r="S89" s="9" t="s">
        <v>126</v>
      </c>
      <c r="T89" s="9" t="s">
        <v>65</v>
      </c>
      <c r="U89" s="9" t="s">
        <v>59</v>
      </c>
    </row>
    <row r="90" customFormat="false" ht="53.7" hidden="false" customHeight="false" outlineLevel="0" collapsed="false">
      <c r="A90" s="9" t="s">
        <v>424</v>
      </c>
      <c r="B90" s="12" t="s">
        <v>35</v>
      </c>
      <c r="C90" s="9" t="s">
        <v>415</v>
      </c>
      <c r="D90" s="9" t="s">
        <v>416</v>
      </c>
      <c r="E90" s="9" t="n">
        <v>6</v>
      </c>
      <c r="F90" s="9"/>
      <c r="G90" s="9" t="s">
        <v>233</v>
      </c>
      <c r="H90" s="9" t="s">
        <v>425</v>
      </c>
      <c r="I90" s="9" t="s">
        <v>152</v>
      </c>
      <c r="J90" s="9" t="s">
        <v>426</v>
      </c>
      <c r="K90" s="9" t="s">
        <v>154</v>
      </c>
      <c r="L90" s="11"/>
      <c r="M90" s="11" t="s">
        <v>96</v>
      </c>
      <c r="N90" s="11" t="s">
        <v>124</v>
      </c>
      <c r="O90" s="11" t="s">
        <v>59</v>
      </c>
      <c r="P90" s="11"/>
      <c r="Q90" s="11"/>
      <c r="R90" s="11"/>
      <c r="S90" s="9" t="s">
        <v>96</v>
      </c>
      <c r="T90" s="9" t="s">
        <v>124</v>
      </c>
      <c r="U90" s="9" t="s">
        <v>59</v>
      </c>
    </row>
    <row r="91" customFormat="false" ht="32.8" hidden="false" customHeight="false" outlineLevel="0" collapsed="false">
      <c r="A91" s="9" t="s">
        <v>427</v>
      </c>
      <c r="B91" s="12" t="s">
        <v>35</v>
      </c>
      <c r="C91" s="9" t="s">
        <v>415</v>
      </c>
      <c r="D91" s="9" t="s">
        <v>416</v>
      </c>
      <c r="E91" s="9" t="n">
        <v>10</v>
      </c>
      <c r="F91" s="9"/>
      <c r="G91" s="9" t="s">
        <v>266</v>
      </c>
      <c r="H91" s="9" t="s">
        <v>428</v>
      </c>
      <c r="I91" s="9" t="s">
        <v>152</v>
      </c>
      <c r="J91" s="9" t="s">
        <v>429</v>
      </c>
      <c r="K91" s="9" t="s">
        <v>154</v>
      </c>
      <c r="L91" s="11"/>
      <c r="M91" s="11" t="s">
        <v>96</v>
      </c>
      <c r="N91" s="11" t="s">
        <v>124</v>
      </c>
      <c r="O91" s="11" t="s">
        <v>59</v>
      </c>
      <c r="P91" s="11"/>
      <c r="Q91" s="11"/>
      <c r="R91" s="11"/>
      <c r="S91" s="9" t="s">
        <v>96</v>
      </c>
      <c r="T91" s="9" t="s">
        <v>124</v>
      </c>
      <c r="U91" s="9" t="s">
        <v>59</v>
      </c>
    </row>
    <row r="92" customFormat="false" ht="32.8" hidden="false" customHeight="false" outlineLevel="0" collapsed="false">
      <c r="A92" s="9" t="s">
        <v>430</v>
      </c>
      <c r="B92" s="12" t="s">
        <v>35</v>
      </c>
      <c r="C92" s="9" t="s">
        <v>415</v>
      </c>
      <c r="D92" s="9" t="s">
        <v>416</v>
      </c>
      <c r="E92" s="9" t="n">
        <v>10</v>
      </c>
      <c r="F92" s="9"/>
      <c r="G92" s="9" t="s">
        <v>431</v>
      </c>
      <c r="H92" s="9" t="s">
        <v>432</v>
      </c>
      <c r="I92" s="9" t="s">
        <v>152</v>
      </c>
      <c r="J92" s="9" t="s">
        <v>433</v>
      </c>
      <c r="K92" s="9" t="s">
        <v>154</v>
      </c>
      <c r="L92" s="11"/>
      <c r="M92" s="11" t="s">
        <v>57</v>
      </c>
      <c r="N92" s="11" t="s">
        <v>124</v>
      </c>
      <c r="O92" s="11" t="s">
        <v>59</v>
      </c>
      <c r="P92" s="11"/>
      <c r="Q92" s="11"/>
      <c r="R92" s="11"/>
      <c r="S92" s="9" t="s">
        <v>57</v>
      </c>
      <c r="T92" s="9" t="s">
        <v>124</v>
      </c>
      <c r="U92" s="9" t="s">
        <v>59</v>
      </c>
    </row>
    <row r="93" customFormat="false" ht="53.7" hidden="false" customHeight="false" outlineLevel="0" collapsed="false">
      <c r="A93" s="9" t="s">
        <v>434</v>
      </c>
      <c r="B93" s="10" t="s">
        <v>34</v>
      </c>
      <c r="C93" s="9" t="s">
        <v>415</v>
      </c>
      <c r="D93" s="9" t="s">
        <v>416</v>
      </c>
      <c r="E93" s="9" t="n">
        <v>14</v>
      </c>
      <c r="F93" s="9"/>
      <c r="G93" s="9" t="s">
        <v>435</v>
      </c>
      <c r="H93" s="9" t="s">
        <v>436</v>
      </c>
      <c r="I93" s="9" t="s">
        <v>152</v>
      </c>
      <c r="J93" s="9"/>
      <c r="K93" s="9" t="s">
        <v>154</v>
      </c>
      <c r="L93" s="11"/>
      <c r="M93" s="11" t="s">
        <v>108</v>
      </c>
      <c r="N93" s="11" t="s">
        <v>109</v>
      </c>
      <c r="O93" s="11" t="s">
        <v>86</v>
      </c>
      <c r="P93" s="11"/>
      <c r="Q93" s="11"/>
      <c r="R93" s="11"/>
      <c r="S93" s="9" t="s">
        <v>108</v>
      </c>
      <c r="T93" s="9" t="s">
        <v>109</v>
      </c>
      <c r="U93" s="9" t="s">
        <v>86</v>
      </c>
    </row>
    <row r="94" customFormat="false" ht="32.8" hidden="false" customHeight="false" outlineLevel="0" collapsed="false">
      <c r="A94" s="9" t="s">
        <v>437</v>
      </c>
      <c r="B94" s="12" t="s">
        <v>35</v>
      </c>
      <c r="C94" s="9" t="s">
        <v>438</v>
      </c>
      <c r="D94" s="9" t="s">
        <v>439</v>
      </c>
      <c r="E94" s="9" t="n">
        <v>2</v>
      </c>
      <c r="F94" s="9"/>
      <c r="G94" s="9" t="s">
        <v>440</v>
      </c>
      <c r="H94" s="9" t="s">
        <v>441</v>
      </c>
      <c r="I94" s="9" t="s">
        <v>185</v>
      </c>
      <c r="J94" s="9" t="s">
        <v>442</v>
      </c>
      <c r="K94" s="9" t="s">
        <v>154</v>
      </c>
      <c r="L94" s="11"/>
      <c r="M94" s="11" t="s">
        <v>57</v>
      </c>
      <c r="N94" s="11" t="s">
        <v>124</v>
      </c>
      <c r="O94" s="11" t="s">
        <v>72</v>
      </c>
      <c r="P94" s="11"/>
      <c r="Q94" s="11"/>
      <c r="R94" s="11"/>
      <c r="S94" s="9" t="s">
        <v>57</v>
      </c>
      <c r="T94" s="9" t="s">
        <v>124</v>
      </c>
      <c r="U94" s="9" t="s">
        <v>72</v>
      </c>
    </row>
    <row r="95" customFormat="false" ht="32.8" hidden="false" customHeight="false" outlineLevel="0" collapsed="false">
      <c r="A95" s="9" t="s">
        <v>443</v>
      </c>
      <c r="B95" s="12" t="s">
        <v>35</v>
      </c>
      <c r="C95" s="9" t="s">
        <v>438</v>
      </c>
      <c r="D95" s="9" t="s">
        <v>439</v>
      </c>
      <c r="E95" s="9" t="n">
        <v>4</v>
      </c>
      <c r="F95" s="9"/>
      <c r="G95" s="9" t="s">
        <v>209</v>
      </c>
      <c r="H95" s="9" t="s">
        <v>444</v>
      </c>
      <c r="I95" s="9" t="s">
        <v>152</v>
      </c>
      <c r="J95" s="9" t="s">
        <v>445</v>
      </c>
      <c r="K95" s="9" t="s">
        <v>154</v>
      </c>
      <c r="L95" s="11"/>
      <c r="M95" s="11" t="s">
        <v>126</v>
      </c>
      <c r="N95" s="11" t="s">
        <v>124</v>
      </c>
      <c r="O95" s="11" t="s">
        <v>86</v>
      </c>
      <c r="P95" s="11"/>
      <c r="Q95" s="11"/>
      <c r="R95" s="11"/>
      <c r="S95" s="9" t="s">
        <v>126</v>
      </c>
      <c r="T95" s="9" t="s">
        <v>124</v>
      </c>
      <c r="U95" s="9" t="s">
        <v>86</v>
      </c>
    </row>
    <row r="96" customFormat="false" ht="53.7" hidden="false" customHeight="false" outlineLevel="0" collapsed="false">
      <c r="A96" s="9" t="s">
        <v>446</v>
      </c>
      <c r="B96" s="12" t="s">
        <v>35</v>
      </c>
      <c r="C96" s="9" t="s">
        <v>438</v>
      </c>
      <c r="D96" s="9" t="s">
        <v>439</v>
      </c>
      <c r="E96" s="9" t="n">
        <v>5</v>
      </c>
      <c r="F96" s="9"/>
      <c r="G96" s="9" t="s">
        <v>276</v>
      </c>
      <c r="H96" s="9" t="s">
        <v>447</v>
      </c>
      <c r="I96" s="9" t="s">
        <v>185</v>
      </c>
      <c r="J96" s="9" t="s">
        <v>448</v>
      </c>
      <c r="K96" s="9" t="s">
        <v>154</v>
      </c>
      <c r="L96" s="11"/>
      <c r="M96" s="11" t="s">
        <v>126</v>
      </c>
      <c r="N96" s="11" t="s">
        <v>124</v>
      </c>
      <c r="O96" s="11" t="s">
        <v>72</v>
      </c>
      <c r="P96" s="11"/>
      <c r="Q96" s="11"/>
      <c r="R96" s="11"/>
      <c r="S96" s="9" t="s">
        <v>126</v>
      </c>
      <c r="T96" s="9" t="s">
        <v>124</v>
      </c>
      <c r="U96" s="9" t="s">
        <v>72</v>
      </c>
    </row>
    <row r="97" customFormat="false" ht="22.35" hidden="false" customHeight="false" outlineLevel="0" collapsed="false">
      <c r="A97" s="9" t="s">
        <v>449</v>
      </c>
      <c r="B97" s="10" t="s">
        <v>34</v>
      </c>
      <c r="C97" s="9" t="s">
        <v>450</v>
      </c>
      <c r="D97" s="9" t="s">
        <v>451</v>
      </c>
      <c r="E97" s="9" t="n">
        <v>4</v>
      </c>
      <c r="F97" s="9"/>
      <c r="G97" s="9" t="s">
        <v>160</v>
      </c>
      <c r="H97" s="9" t="s">
        <v>452</v>
      </c>
      <c r="I97" s="9" t="s">
        <v>152</v>
      </c>
      <c r="J97" s="9"/>
      <c r="K97" s="9" t="s">
        <v>154</v>
      </c>
      <c r="L97" s="11"/>
      <c r="M97" s="11" t="s">
        <v>123</v>
      </c>
      <c r="N97" s="11" t="s">
        <v>97</v>
      </c>
      <c r="O97" s="11" t="s">
        <v>86</v>
      </c>
      <c r="P97" s="11"/>
      <c r="Q97" s="11"/>
      <c r="R97" s="11"/>
      <c r="S97" s="9" t="s">
        <v>123</v>
      </c>
      <c r="T97" s="9" t="s">
        <v>97</v>
      </c>
      <c r="U97" s="9" t="s">
        <v>86</v>
      </c>
    </row>
    <row r="98" customFormat="false" ht="32.8" hidden="false" customHeight="false" outlineLevel="0" collapsed="false">
      <c r="A98" s="9" t="s">
        <v>453</v>
      </c>
      <c r="B98" s="12" t="s">
        <v>35</v>
      </c>
      <c r="C98" s="9" t="s">
        <v>450</v>
      </c>
      <c r="D98" s="9" t="s">
        <v>451</v>
      </c>
      <c r="E98" s="9" t="n">
        <v>6</v>
      </c>
      <c r="F98" s="9"/>
      <c r="G98" s="9" t="s">
        <v>180</v>
      </c>
      <c r="H98" s="9" t="s">
        <v>454</v>
      </c>
      <c r="I98" s="9" t="s">
        <v>152</v>
      </c>
      <c r="J98" s="9"/>
      <c r="K98" s="9" t="s">
        <v>154</v>
      </c>
      <c r="L98" s="11"/>
      <c r="M98" s="11" t="s">
        <v>70</v>
      </c>
      <c r="N98" s="11" t="s">
        <v>65</v>
      </c>
      <c r="O98" s="11" t="s">
        <v>72</v>
      </c>
      <c r="P98" s="11"/>
      <c r="Q98" s="11"/>
      <c r="R98" s="11"/>
      <c r="S98" s="9" t="s">
        <v>70</v>
      </c>
      <c r="T98" s="9" t="s">
        <v>65</v>
      </c>
      <c r="U98" s="9" t="s">
        <v>72</v>
      </c>
    </row>
    <row r="99" customFormat="false" ht="53.7" hidden="false" customHeight="false" outlineLevel="0" collapsed="false">
      <c r="A99" s="9" t="s">
        <v>455</v>
      </c>
      <c r="B99" s="12" t="s">
        <v>35</v>
      </c>
      <c r="C99" s="9" t="s">
        <v>456</v>
      </c>
      <c r="D99" s="9" t="s">
        <v>457</v>
      </c>
      <c r="E99" s="9" t="n">
        <v>7</v>
      </c>
      <c r="F99" s="9"/>
      <c r="G99" s="9" t="s">
        <v>160</v>
      </c>
      <c r="H99" s="9" t="s">
        <v>458</v>
      </c>
      <c r="I99" s="9" t="s">
        <v>152</v>
      </c>
      <c r="J99" s="9" t="s">
        <v>459</v>
      </c>
      <c r="K99" s="9" t="s">
        <v>154</v>
      </c>
      <c r="L99" s="11"/>
      <c r="M99" s="11" t="s">
        <v>124</v>
      </c>
      <c r="N99" s="11" t="s">
        <v>65</v>
      </c>
      <c r="O99" s="11" t="s">
        <v>72</v>
      </c>
      <c r="P99" s="11"/>
      <c r="Q99" s="11"/>
      <c r="R99" s="11"/>
      <c r="S99" s="9" t="s">
        <v>124</v>
      </c>
      <c r="T99" s="9" t="s">
        <v>65</v>
      </c>
      <c r="U99" s="9" t="s">
        <v>72</v>
      </c>
    </row>
    <row r="100" customFormat="false" ht="43.25" hidden="false" customHeight="false" outlineLevel="0" collapsed="false">
      <c r="A100" s="9" t="s">
        <v>460</v>
      </c>
      <c r="B100" s="12" t="s">
        <v>35</v>
      </c>
      <c r="C100" s="9" t="s">
        <v>456</v>
      </c>
      <c r="D100" s="9" t="s">
        <v>457</v>
      </c>
      <c r="E100" s="9" t="n">
        <v>9</v>
      </c>
      <c r="F100" s="9"/>
      <c r="G100" s="9" t="s">
        <v>180</v>
      </c>
      <c r="H100" s="9" t="s">
        <v>461</v>
      </c>
      <c r="I100" s="9" t="s">
        <v>152</v>
      </c>
      <c r="J100" s="9" t="s">
        <v>462</v>
      </c>
      <c r="K100" s="9" t="s">
        <v>154</v>
      </c>
      <c r="L100" s="11"/>
      <c r="M100" s="11" t="s">
        <v>124</v>
      </c>
      <c r="N100" s="11" t="s">
        <v>65</v>
      </c>
      <c r="O100" s="11" t="s">
        <v>86</v>
      </c>
      <c r="P100" s="11"/>
      <c r="Q100" s="11"/>
      <c r="R100" s="11"/>
      <c r="S100" s="9" t="s">
        <v>124</v>
      </c>
      <c r="T100" s="9" t="s">
        <v>65</v>
      </c>
      <c r="U100" s="9" t="s">
        <v>86</v>
      </c>
    </row>
    <row r="101" customFormat="false" ht="43.25" hidden="false" customHeight="false" outlineLevel="0" collapsed="false">
      <c r="A101" s="9" t="s">
        <v>463</v>
      </c>
      <c r="B101" s="10" t="s">
        <v>34</v>
      </c>
      <c r="C101" s="9" t="s">
        <v>464</v>
      </c>
      <c r="D101" s="9" t="s">
        <v>465</v>
      </c>
      <c r="E101" s="9" t="n">
        <v>10</v>
      </c>
      <c r="F101" s="9"/>
      <c r="G101" s="9" t="s">
        <v>150</v>
      </c>
      <c r="H101" s="9" t="s">
        <v>466</v>
      </c>
      <c r="I101" s="9" t="s">
        <v>152</v>
      </c>
      <c r="J101" s="9"/>
      <c r="K101" s="9" t="s">
        <v>154</v>
      </c>
      <c r="L101" s="11"/>
      <c r="M101" s="11" t="s">
        <v>123</v>
      </c>
      <c r="N101" s="11" t="s">
        <v>65</v>
      </c>
      <c r="O101" s="11" t="s">
        <v>72</v>
      </c>
      <c r="P101" s="11"/>
      <c r="Q101" s="11"/>
      <c r="R101" s="11"/>
      <c r="S101" s="9" t="s">
        <v>123</v>
      </c>
      <c r="T101" s="9" t="s">
        <v>65</v>
      </c>
      <c r="U101" s="9" t="s">
        <v>72</v>
      </c>
    </row>
    <row r="102" customFormat="false" ht="53.7" hidden="false" customHeight="false" outlineLevel="0" collapsed="false">
      <c r="A102" s="9" t="s">
        <v>467</v>
      </c>
      <c r="B102" s="10" t="s">
        <v>34</v>
      </c>
      <c r="C102" s="9" t="s">
        <v>464</v>
      </c>
      <c r="D102" s="9" t="s">
        <v>465</v>
      </c>
      <c r="E102" s="9" t="n">
        <v>10</v>
      </c>
      <c r="F102" s="9"/>
      <c r="G102" s="9" t="s">
        <v>160</v>
      </c>
      <c r="H102" s="9" t="s">
        <v>468</v>
      </c>
      <c r="I102" s="9" t="s">
        <v>152</v>
      </c>
      <c r="J102" s="9"/>
      <c r="K102" s="9" t="s">
        <v>154</v>
      </c>
      <c r="L102" s="11"/>
      <c r="M102" s="11" t="s">
        <v>108</v>
      </c>
      <c r="N102" s="11" t="s">
        <v>65</v>
      </c>
      <c r="O102" s="11" t="s">
        <v>72</v>
      </c>
      <c r="P102" s="11"/>
      <c r="Q102" s="11"/>
      <c r="R102" s="11"/>
      <c r="S102" s="9" t="s">
        <v>108</v>
      </c>
      <c r="T102" s="9" t="s">
        <v>65</v>
      </c>
      <c r="U102" s="9" t="s">
        <v>72</v>
      </c>
    </row>
    <row r="103" customFormat="false" ht="32.8" hidden="false" customHeight="false" outlineLevel="0" collapsed="false">
      <c r="A103" s="9" t="s">
        <v>469</v>
      </c>
      <c r="B103" s="10" t="s">
        <v>34</v>
      </c>
      <c r="C103" s="9" t="s">
        <v>470</v>
      </c>
      <c r="D103" s="9" t="s">
        <v>471</v>
      </c>
      <c r="E103" s="9" t="n">
        <v>7</v>
      </c>
      <c r="F103" s="9"/>
      <c r="G103" s="9" t="s">
        <v>180</v>
      </c>
      <c r="H103" s="9" t="s">
        <v>472</v>
      </c>
      <c r="I103" s="9" t="s">
        <v>152</v>
      </c>
      <c r="J103" s="9"/>
      <c r="K103" s="9" t="s">
        <v>154</v>
      </c>
      <c r="L103" s="11"/>
      <c r="M103" s="11" t="s">
        <v>84</v>
      </c>
      <c r="N103" s="11" t="s">
        <v>65</v>
      </c>
      <c r="O103" s="11" t="s">
        <v>59</v>
      </c>
      <c r="P103" s="11"/>
      <c r="Q103" s="11"/>
      <c r="R103" s="11"/>
      <c r="S103" s="9" t="s">
        <v>84</v>
      </c>
      <c r="T103" s="9" t="s">
        <v>65</v>
      </c>
      <c r="U103" s="9" t="s">
        <v>59</v>
      </c>
    </row>
    <row r="104" customFormat="false" ht="53.7" hidden="false" customHeight="false" outlineLevel="0" collapsed="false">
      <c r="A104" s="9" t="s">
        <v>473</v>
      </c>
      <c r="B104" s="10" t="s">
        <v>34</v>
      </c>
      <c r="C104" s="9" t="s">
        <v>470</v>
      </c>
      <c r="D104" s="9" t="s">
        <v>471</v>
      </c>
      <c r="E104" s="9" t="n">
        <v>7</v>
      </c>
      <c r="F104" s="9"/>
      <c r="G104" s="9" t="s">
        <v>233</v>
      </c>
      <c r="H104" s="9" t="s">
        <v>472</v>
      </c>
      <c r="I104" s="9" t="s">
        <v>152</v>
      </c>
      <c r="J104" s="9"/>
      <c r="K104" s="9" t="s">
        <v>154</v>
      </c>
      <c r="L104" s="11"/>
      <c r="M104" s="11" t="s">
        <v>108</v>
      </c>
      <c r="N104" s="11" t="s">
        <v>65</v>
      </c>
      <c r="O104" s="11" t="s">
        <v>59</v>
      </c>
      <c r="P104" s="11"/>
      <c r="Q104" s="11"/>
      <c r="R104" s="11"/>
      <c r="S104" s="9" t="s">
        <v>108</v>
      </c>
      <c r="T104" s="9" t="s">
        <v>65</v>
      </c>
      <c r="U104" s="9" t="s">
        <v>59</v>
      </c>
    </row>
    <row r="105" customFormat="false" ht="43.25" hidden="false" customHeight="false" outlineLevel="0" collapsed="false">
      <c r="A105" s="9" t="s">
        <v>474</v>
      </c>
      <c r="B105" s="10" t="s">
        <v>34</v>
      </c>
      <c r="C105" s="9" t="s">
        <v>470</v>
      </c>
      <c r="D105" s="9" t="s">
        <v>471</v>
      </c>
      <c r="E105" s="9" t="n">
        <v>7</v>
      </c>
      <c r="F105" s="9"/>
      <c r="G105" s="9" t="s">
        <v>269</v>
      </c>
      <c r="H105" s="9" t="s">
        <v>475</v>
      </c>
      <c r="I105" s="9" t="s">
        <v>152</v>
      </c>
      <c r="J105" s="9"/>
      <c r="K105" s="9" t="s">
        <v>476</v>
      </c>
      <c r="L105" s="11"/>
      <c r="M105" s="11" t="s">
        <v>96</v>
      </c>
      <c r="N105" s="11" t="s">
        <v>65</v>
      </c>
      <c r="O105" s="11" t="s">
        <v>59</v>
      </c>
      <c r="P105" s="11"/>
      <c r="Q105" s="11"/>
      <c r="R105" s="11"/>
      <c r="S105" s="9" t="s">
        <v>96</v>
      </c>
      <c r="T105" s="9" t="s">
        <v>65</v>
      </c>
      <c r="U105" s="9" t="s">
        <v>59</v>
      </c>
    </row>
    <row r="106" customFormat="false" ht="43.25" hidden="false" customHeight="false" outlineLevel="0" collapsed="false">
      <c r="A106" s="9" t="s">
        <v>477</v>
      </c>
      <c r="B106" s="10" t="s">
        <v>34</v>
      </c>
      <c r="C106" s="9" t="s">
        <v>470</v>
      </c>
      <c r="D106" s="9" t="s">
        <v>471</v>
      </c>
      <c r="E106" s="9" t="n">
        <v>10</v>
      </c>
      <c r="F106" s="9"/>
      <c r="G106" s="9" t="s">
        <v>198</v>
      </c>
      <c r="H106" s="9" t="s">
        <v>478</v>
      </c>
      <c r="I106" s="9" t="s">
        <v>152</v>
      </c>
      <c r="J106" s="9"/>
      <c r="K106" s="9" t="s">
        <v>476</v>
      </c>
      <c r="L106" s="11"/>
      <c r="M106" s="11" t="s">
        <v>70</v>
      </c>
      <c r="N106" s="11" t="s">
        <v>118</v>
      </c>
      <c r="O106" s="11" t="s">
        <v>59</v>
      </c>
      <c r="P106" s="11"/>
      <c r="Q106" s="11"/>
      <c r="R106" s="11"/>
      <c r="S106" s="9" t="s">
        <v>70</v>
      </c>
      <c r="T106" s="9" t="s">
        <v>118</v>
      </c>
      <c r="U106" s="9" t="s">
        <v>59</v>
      </c>
    </row>
    <row r="107" customFormat="false" ht="43.25" hidden="false" customHeight="false" outlineLevel="0" collapsed="false">
      <c r="A107" s="9" t="s">
        <v>479</v>
      </c>
      <c r="B107" s="10" t="s">
        <v>34</v>
      </c>
      <c r="C107" s="9" t="s">
        <v>470</v>
      </c>
      <c r="D107" s="9" t="s">
        <v>471</v>
      </c>
      <c r="E107" s="9" t="n">
        <v>10</v>
      </c>
      <c r="F107" s="9"/>
      <c r="G107" s="9" t="s">
        <v>266</v>
      </c>
      <c r="H107" s="9" t="s">
        <v>478</v>
      </c>
      <c r="I107" s="9" t="s">
        <v>152</v>
      </c>
      <c r="J107" s="9"/>
      <c r="K107" s="9" t="s">
        <v>476</v>
      </c>
      <c r="L107" s="11"/>
      <c r="M107" s="11" t="s">
        <v>112</v>
      </c>
      <c r="N107" s="11" t="s">
        <v>65</v>
      </c>
      <c r="O107" s="11" t="s">
        <v>59</v>
      </c>
      <c r="P107" s="11"/>
      <c r="Q107" s="11"/>
      <c r="R107" s="11"/>
      <c r="S107" s="9" t="s">
        <v>112</v>
      </c>
      <c r="T107" s="9" t="s">
        <v>65</v>
      </c>
      <c r="U107" s="9" t="s">
        <v>59</v>
      </c>
    </row>
    <row r="108" customFormat="false" ht="43.25" hidden="false" customHeight="false" outlineLevel="0" collapsed="false">
      <c r="A108" s="9" t="s">
        <v>480</v>
      </c>
      <c r="B108" s="10" t="s">
        <v>34</v>
      </c>
      <c r="C108" s="9" t="s">
        <v>470</v>
      </c>
      <c r="D108" s="9" t="s">
        <v>471</v>
      </c>
      <c r="E108" s="9" t="n">
        <v>11</v>
      </c>
      <c r="F108" s="9"/>
      <c r="G108" s="9" t="s">
        <v>431</v>
      </c>
      <c r="H108" s="9" t="s">
        <v>481</v>
      </c>
      <c r="I108" s="9" t="s">
        <v>152</v>
      </c>
      <c r="J108" s="9"/>
      <c r="K108" s="9" t="s">
        <v>476</v>
      </c>
      <c r="L108" s="11"/>
      <c r="M108" s="11" t="s">
        <v>57</v>
      </c>
      <c r="N108" s="11" t="s">
        <v>65</v>
      </c>
      <c r="O108" s="11" t="s">
        <v>59</v>
      </c>
      <c r="P108" s="11"/>
      <c r="Q108" s="11"/>
      <c r="R108" s="11"/>
      <c r="S108" s="9" t="s">
        <v>57</v>
      </c>
      <c r="T108" s="9" t="s">
        <v>65</v>
      </c>
      <c r="U108" s="9" t="s">
        <v>59</v>
      </c>
    </row>
    <row r="109" customFormat="false" ht="32.8" hidden="false" customHeight="false" outlineLevel="0" collapsed="false">
      <c r="A109" s="9" t="s">
        <v>482</v>
      </c>
      <c r="B109" s="10" t="s">
        <v>34</v>
      </c>
      <c r="C109" s="9" t="s">
        <v>470</v>
      </c>
      <c r="D109" s="9" t="s">
        <v>471</v>
      </c>
      <c r="E109" s="9" t="n">
        <v>30</v>
      </c>
      <c r="F109" s="9"/>
      <c r="G109" s="9" t="s">
        <v>212</v>
      </c>
      <c r="H109" s="9" t="s">
        <v>483</v>
      </c>
      <c r="I109" s="9" t="s">
        <v>152</v>
      </c>
      <c r="J109" s="9"/>
      <c r="K109" s="9" t="s">
        <v>154</v>
      </c>
      <c r="L109" s="11"/>
      <c r="M109" s="11" t="s">
        <v>84</v>
      </c>
      <c r="N109" s="11" t="s">
        <v>65</v>
      </c>
      <c r="O109" s="11" t="s">
        <v>72</v>
      </c>
      <c r="P109" s="11"/>
      <c r="Q109" s="11"/>
      <c r="R109" s="11"/>
      <c r="S109" s="9" t="s">
        <v>84</v>
      </c>
      <c r="T109" s="9" t="s">
        <v>65</v>
      </c>
      <c r="U109" s="9" t="s">
        <v>72</v>
      </c>
    </row>
    <row r="110" customFormat="false" ht="53.7" hidden="false" customHeight="false" outlineLevel="0" collapsed="false">
      <c r="A110" s="9" t="s">
        <v>484</v>
      </c>
      <c r="B110" s="10" t="s">
        <v>34</v>
      </c>
      <c r="C110" s="9" t="s">
        <v>485</v>
      </c>
      <c r="D110" s="9" t="s">
        <v>486</v>
      </c>
      <c r="E110" s="9" t="n">
        <v>1</v>
      </c>
      <c r="F110" s="9"/>
      <c r="G110" s="9" t="s">
        <v>150</v>
      </c>
      <c r="H110" s="9" t="s">
        <v>487</v>
      </c>
      <c r="I110" s="9" t="s">
        <v>152</v>
      </c>
      <c r="J110" s="9" t="s">
        <v>488</v>
      </c>
      <c r="K110" s="9" t="s">
        <v>154</v>
      </c>
      <c r="L110" s="11"/>
      <c r="M110" s="11" t="s">
        <v>124</v>
      </c>
      <c r="N110" s="11" t="s">
        <v>65</v>
      </c>
      <c r="O110" s="11" t="s">
        <v>72</v>
      </c>
      <c r="P110" s="11"/>
      <c r="Q110" s="11"/>
      <c r="R110" s="11"/>
      <c r="S110" s="9" t="s">
        <v>124</v>
      </c>
      <c r="T110" s="9" t="s">
        <v>65</v>
      </c>
      <c r="U110" s="9" t="s">
        <v>72</v>
      </c>
    </row>
    <row r="111" customFormat="false" ht="32.8" hidden="false" customHeight="false" outlineLevel="0" collapsed="false">
      <c r="A111" s="9" t="s">
        <v>489</v>
      </c>
      <c r="B111" s="10" t="s">
        <v>34</v>
      </c>
      <c r="C111" s="9" t="s">
        <v>485</v>
      </c>
      <c r="D111" s="9" t="s">
        <v>486</v>
      </c>
      <c r="E111" s="9" t="n">
        <v>14</v>
      </c>
      <c r="F111" s="9"/>
      <c r="G111" s="9" t="s">
        <v>160</v>
      </c>
      <c r="H111" s="9" t="s">
        <v>490</v>
      </c>
      <c r="I111" s="9" t="s">
        <v>185</v>
      </c>
      <c r="J111" s="9" t="s">
        <v>491</v>
      </c>
      <c r="K111" s="9" t="s">
        <v>154</v>
      </c>
      <c r="L111" s="11"/>
      <c r="M111" s="11" t="s">
        <v>124</v>
      </c>
      <c r="N111" s="11" t="s">
        <v>65</v>
      </c>
      <c r="O111" s="11" t="s">
        <v>72</v>
      </c>
      <c r="P111" s="11"/>
      <c r="Q111" s="11"/>
      <c r="R111" s="11"/>
      <c r="S111" s="9" t="s">
        <v>124</v>
      </c>
      <c r="T111" s="9" t="s">
        <v>65</v>
      </c>
      <c r="U111" s="9" t="s">
        <v>72</v>
      </c>
    </row>
    <row r="112" customFormat="false" ht="32.8" hidden="false" customHeight="false" outlineLevel="0" collapsed="false">
      <c r="A112" s="9" t="s">
        <v>492</v>
      </c>
      <c r="B112" s="12" t="s">
        <v>35</v>
      </c>
      <c r="C112" s="9" t="s">
        <v>493</v>
      </c>
      <c r="D112" s="9" t="s">
        <v>494</v>
      </c>
      <c r="E112" s="9" t="n">
        <v>3</v>
      </c>
      <c r="F112" s="9"/>
      <c r="G112" s="9" t="s">
        <v>269</v>
      </c>
      <c r="H112" s="9" t="s">
        <v>495</v>
      </c>
      <c r="I112" s="9" t="s">
        <v>152</v>
      </c>
      <c r="J112" s="9"/>
      <c r="K112" s="9" t="s">
        <v>154</v>
      </c>
      <c r="L112" s="11"/>
      <c r="M112" s="11" t="s">
        <v>126</v>
      </c>
      <c r="N112" s="11" t="s">
        <v>65</v>
      </c>
      <c r="O112" s="11" t="s">
        <v>59</v>
      </c>
      <c r="P112" s="11"/>
      <c r="Q112" s="11"/>
      <c r="R112" s="11"/>
      <c r="S112" s="9" t="s">
        <v>126</v>
      </c>
      <c r="T112" s="9" t="s">
        <v>65</v>
      </c>
      <c r="U112" s="9" t="s">
        <v>59</v>
      </c>
    </row>
    <row r="113" customFormat="false" ht="22.35" hidden="false" customHeight="false" outlineLevel="0" collapsed="false">
      <c r="A113" s="9" t="s">
        <v>496</v>
      </c>
      <c r="B113" s="10" t="s">
        <v>34</v>
      </c>
      <c r="C113" s="9" t="s">
        <v>493</v>
      </c>
      <c r="D113" s="9" t="s">
        <v>494</v>
      </c>
      <c r="E113" s="9" t="n">
        <v>6</v>
      </c>
      <c r="F113" s="9"/>
      <c r="G113" s="9" t="s">
        <v>497</v>
      </c>
      <c r="H113" s="9" t="s">
        <v>498</v>
      </c>
      <c r="I113" s="9" t="s">
        <v>152</v>
      </c>
      <c r="J113" s="9"/>
      <c r="K113" s="9" t="s">
        <v>154</v>
      </c>
      <c r="L113" s="11"/>
      <c r="M113" s="11" t="s">
        <v>117</v>
      </c>
      <c r="N113" s="11" t="s">
        <v>97</v>
      </c>
      <c r="O113" s="11" t="s">
        <v>59</v>
      </c>
      <c r="P113" s="11"/>
      <c r="Q113" s="11"/>
      <c r="R113" s="11"/>
      <c r="S113" s="9" t="s">
        <v>117</v>
      </c>
      <c r="T113" s="9" t="s">
        <v>97</v>
      </c>
      <c r="U113" s="9" t="s">
        <v>59</v>
      </c>
    </row>
    <row r="114" customFormat="false" ht="32.8" hidden="false" customHeight="false" outlineLevel="0" collapsed="false">
      <c r="A114" s="9" t="s">
        <v>499</v>
      </c>
      <c r="B114" s="10" t="s">
        <v>34</v>
      </c>
      <c r="C114" s="9" t="s">
        <v>493</v>
      </c>
      <c r="D114" s="9" t="s">
        <v>494</v>
      </c>
      <c r="E114" s="9" t="n">
        <v>7</v>
      </c>
      <c r="F114" s="9"/>
      <c r="G114" s="9" t="s">
        <v>160</v>
      </c>
      <c r="H114" s="9" t="s">
        <v>500</v>
      </c>
      <c r="I114" s="9" t="s">
        <v>152</v>
      </c>
      <c r="J114" s="9"/>
      <c r="K114" s="9" t="s">
        <v>154</v>
      </c>
      <c r="L114" s="11"/>
      <c r="M114" s="11" t="s">
        <v>103</v>
      </c>
      <c r="N114" s="11" t="s">
        <v>85</v>
      </c>
      <c r="O114" s="11" t="s">
        <v>72</v>
      </c>
      <c r="P114" s="11"/>
      <c r="Q114" s="11"/>
      <c r="R114" s="11"/>
      <c r="S114" s="9" t="s">
        <v>103</v>
      </c>
      <c r="T114" s="9" t="s">
        <v>85</v>
      </c>
      <c r="U114" s="9" t="s">
        <v>72</v>
      </c>
    </row>
    <row r="115" customFormat="false" ht="32.8" hidden="false" customHeight="false" outlineLevel="0" collapsed="false">
      <c r="A115" s="9" t="s">
        <v>501</v>
      </c>
      <c r="B115" s="12" t="s">
        <v>35</v>
      </c>
      <c r="C115" s="9" t="s">
        <v>493</v>
      </c>
      <c r="D115" s="9" t="s">
        <v>494</v>
      </c>
      <c r="E115" s="9" t="n">
        <v>7</v>
      </c>
      <c r="F115" s="9"/>
      <c r="G115" s="9" t="s">
        <v>156</v>
      </c>
      <c r="H115" s="9" t="s">
        <v>502</v>
      </c>
      <c r="I115" s="9" t="s">
        <v>152</v>
      </c>
      <c r="J115" s="9"/>
      <c r="K115" s="9" t="s">
        <v>154</v>
      </c>
      <c r="L115" s="11"/>
      <c r="M115" s="11" t="s">
        <v>96</v>
      </c>
      <c r="N115" s="11" t="s">
        <v>65</v>
      </c>
      <c r="O115" s="11" t="s">
        <v>59</v>
      </c>
      <c r="P115" s="11"/>
      <c r="Q115" s="11"/>
      <c r="R115" s="11"/>
      <c r="S115" s="9" t="s">
        <v>96</v>
      </c>
      <c r="T115" s="9" t="s">
        <v>65</v>
      </c>
      <c r="U115" s="9" t="s">
        <v>59</v>
      </c>
    </row>
    <row r="116" customFormat="false" ht="22.35" hidden="false" customHeight="false" outlineLevel="0" collapsed="false">
      <c r="A116" s="9" t="s">
        <v>503</v>
      </c>
      <c r="B116" s="12" t="s">
        <v>35</v>
      </c>
      <c r="C116" s="9" t="s">
        <v>493</v>
      </c>
      <c r="D116" s="9" t="s">
        <v>494</v>
      </c>
      <c r="E116" s="9" t="n">
        <v>11</v>
      </c>
      <c r="F116" s="9"/>
      <c r="G116" s="9" t="s">
        <v>150</v>
      </c>
      <c r="H116" s="9" t="s">
        <v>504</v>
      </c>
      <c r="I116" s="9" t="s">
        <v>152</v>
      </c>
      <c r="J116" s="9"/>
      <c r="K116" s="9" t="s">
        <v>154</v>
      </c>
      <c r="L116" s="11"/>
      <c r="M116" s="11" t="s">
        <v>96</v>
      </c>
      <c r="N116" s="11" t="s">
        <v>65</v>
      </c>
      <c r="O116" s="11" t="s">
        <v>72</v>
      </c>
      <c r="P116" s="11"/>
      <c r="Q116" s="11"/>
      <c r="R116" s="11"/>
      <c r="S116" s="9" t="s">
        <v>96</v>
      </c>
      <c r="T116" s="9" t="s">
        <v>65</v>
      </c>
      <c r="U116" s="9" t="s">
        <v>72</v>
      </c>
    </row>
    <row r="117" customFormat="false" ht="53.7" hidden="false" customHeight="false" outlineLevel="0" collapsed="false">
      <c r="A117" s="9" t="s">
        <v>505</v>
      </c>
      <c r="B117" s="12" t="s">
        <v>35</v>
      </c>
      <c r="C117" s="9" t="s">
        <v>493</v>
      </c>
      <c r="D117" s="9" t="s">
        <v>494</v>
      </c>
      <c r="E117" s="9" t="n">
        <v>13</v>
      </c>
      <c r="F117" s="9"/>
      <c r="G117" s="9" t="s">
        <v>223</v>
      </c>
      <c r="H117" s="9" t="s">
        <v>506</v>
      </c>
      <c r="I117" s="9" t="s">
        <v>152</v>
      </c>
      <c r="J117" s="9"/>
      <c r="K117" s="9" t="s">
        <v>154</v>
      </c>
      <c r="L117" s="11"/>
      <c r="M117" s="11" t="s">
        <v>108</v>
      </c>
      <c r="N117" s="11" t="s">
        <v>65</v>
      </c>
      <c r="O117" s="11" t="s">
        <v>72</v>
      </c>
      <c r="P117" s="11"/>
      <c r="Q117" s="11"/>
      <c r="R117" s="11"/>
      <c r="S117" s="9" t="s">
        <v>108</v>
      </c>
      <c r="T117" s="9" t="s">
        <v>65</v>
      </c>
      <c r="U117" s="9" t="s">
        <v>72</v>
      </c>
    </row>
    <row r="118" customFormat="false" ht="43.25" hidden="false" customHeight="false" outlineLevel="0" collapsed="false">
      <c r="A118" s="9" t="s">
        <v>507</v>
      </c>
      <c r="B118" s="12" t="s">
        <v>35</v>
      </c>
      <c r="C118" s="9" t="s">
        <v>493</v>
      </c>
      <c r="D118" s="9" t="s">
        <v>494</v>
      </c>
      <c r="E118" s="9" t="n">
        <v>15</v>
      </c>
      <c r="F118" s="9"/>
      <c r="G118" s="9" t="s">
        <v>164</v>
      </c>
      <c r="H118" s="9" t="s">
        <v>508</v>
      </c>
      <c r="I118" s="9" t="s">
        <v>152</v>
      </c>
      <c r="J118" s="9" t="s">
        <v>509</v>
      </c>
      <c r="K118" s="9" t="s">
        <v>154</v>
      </c>
      <c r="L118" s="11"/>
      <c r="M118" s="11" t="s">
        <v>123</v>
      </c>
      <c r="N118" s="11" t="s">
        <v>124</v>
      </c>
      <c r="O118" s="11" t="s">
        <v>86</v>
      </c>
      <c r="P118" s="11"/>
      <c r="Q118" s="11"/>
      <c r="R118" s="11"/>
      <c r="S118" s="9" t="s">
        <v>123</v>
      </c>
      <c r="T118" s="9" t="s">
        <v>124</v>
      </c>
      <c r="U118" s="9" t="s">
        <v>86</v>
      </c>
    </row>
    <row r="119" customFormat="false" ht="32.8" hidden="false" customHeight="false" outlineLevel="0" collapsed="false">
      <c r="A119" s="9" t="s">
        <v>510</v>
      </c>
      <c r="B119" s="12" t="s">
        <v>35</v>
      </c>
      <c r="C119" s="9" t="s">
        <v>493</v>
      </c>
      <c r="D119" s="9" t="s">
        <v>494</v>
      </c>
      <c r="E119" s="9" t="n">
        <v>19</v>
      </c>
      <c r="F119" s="9"/>
      <c r="G119" s="9" t="s">
        <v>266</v>
      </c>
      <c r="H119" s="9" t="s">
        <v>511</v>
      </c>
      <c r="I119" s="9" t="s">
        <v>152</v>
      </c>
      <c r="J119" s="9"/>
      <c r="K119" s="9" t="s">
        <v>154</v>
      </c>
      <c r="L119" s="11"/>
      <c r="M119" s="11" t="s">
        <v>126</v>
      </c>
      <c r="N119" s="11" t="s">
        <v>65</v>
      </c>
      <c r="O119" s="11" t="s">
        <v>72</v>
      </c>
      <c r="P119" s="11"/>
      <c r="Q119" s="11"/>
      <c r="R119" s="11"/>
      <c r="S119" s="9" t="s">
        <v>126</v>
      </c>
      <c r="T119" s="9" t="s">
        <v>65</v>
      </c>
      <c r="U119" s="9" t="s">
        <v>72</v>
      </c>
    </row>
    <row r="120" customFormat="false" ht="53.7" hidden="false" customHeight="false" outlineLevel="0" collapsed="false">
      <c r="A120" s="9" t="s">
        <v>512</v>
      </c>
      <c r="B120" s="12" t="s">
        <v>35</v>
      </c>
      <c r="C120" s="9" t="s">
        <v>513</v>
      </c>
      <c r="D120" s="9" t="s">
        <v>514</v>
      </c>
      <c r="E120" s="9" t="n">
        <v>2</v>
      </c>
      <c r="F120" s="9"/>
      <c r="G120" s="9" t="s">
        <v>180</v>
      </c>
      <c r="H120" s="9" t="s">
        <v>515</v>
      </c>
      <c r="I120" s="9" t="s">
        <v>152</v>
      </c>
      <c r="J120" s="9"/>
      <c r="K120" s="9" t="s">
        <v>154</v>
      </c>
      <c r="L120" s="11"/>
      <c r="M120" s="11" t="s">
        <v>108</v>
      </c>
      <c r="N120" s="11" t="s">
        <v>65</v>
      </c>
      <c r="O120" s="11" t="s">
        <v>72</v>
      </c>
      <c r="P120" s="11"/>
      <c r="Q120" s="11"/>
      <c r="R120" s="11"/>
      <c r="S120" s="9" t="s">
        <v>108</v>
      </c>
      <c r="T120" s="9" t="s">
        <v>65</v>
      </c>
      <c r="U120" s="9" t="s">
        <v>72</v>
      </c>
    </row>
    <row r="121" customFormat="false" ht="32.8" hidden="false" customHeight="false" outlineLevel="0" collapsed="false">
      <c r="A121" s="9" t="s">
        <v>516</v>
      </c>
      <c r="B121" s="12" t="s">
        <v>35</v>
      </c>
      <c r="C121" s="9" t="s">
        <v>513</v>
      </c>
      <c r="D121" s="9" t="s">
        <v>514</v>
      </c>
      <c r="E121" s="9" t="n">
        <v>2</v>
      </c>
      <c r="F121" s="9"/>
      <c r="G121" s="9" t="s">
        <v>183</v>
      </c>
      <c r="H121" s="9" t="s">
        <v>517</v>
      </c>
      <c r="I121" s="9" t="s">
        <v>152</v>
      </c>
      <c r="J121" s="9"/>
      <c r="K121" s="9" t="s">
        <v>154</v>
      </c>
      <c r="L121" s="11"/>
      <c r="M121" s="11" t="s">
        <v>123</v>
      </c>
      <c r="N121" s="11" t="s">
        <v>65</v>
      </c>
      <c r="O121" s="11" t="s">
        <v>72</v>
      </c>
      <c r="P121" s="11"/>
      <c r="Q121" s="11"/>
      <c r="R121" s="11"/>
      <c r="S121" s="9" t="s">
        <v>123</v>
      </c>
      <c r="T121" s="9" t="s">
        <v>65</v>
      </c>
      <c r="U121" s="9" t="s">
        <v>72</v>
      </c>
    </row>
    <row r="122" customFormat="false" ht="32.8" hidden="false" customHeight="false" outlineLevel="0" collapsed="false">
      <c r="A122" s="9" t="s">
        <v>518</v>
      </c>
      <c r="B122" s="10" t="s">
        <v>34</v>
      </c>
      <c r="C122" s="9" t="s">
        <v>513</v>
      </c>
      <c r="D122" s="9" t="s">
        <v>514</v>
      </c>
      <c r="E122" s="9" t="n">
        <v>3</v>
      </c>
      <c r="F122" s="9"/>
      <c r="G122" s="9" t="s">
        <v>519</v>
      </c>
      <c r="H122" s="9" t="s">
        <v>520</v>
      </c>
      <c r="I122" s="9" t="s">
        <v>152</v>
      </c>
      <c r="J122" s="9"/>
      <c r="K122" s="9" t="s">
        <v>154</v>
      </c>
      <c r="L122" s="11"/>
      <c r="M122" s="11" t="s">
        <v>126</v>
      </c>
      <c r="N122" s="11" t="s">
        <v>97</v>
      </c>
      <c r="O122" s="11" t="s">
        <v>72</v>
      </c>
      <c r="P122" s="11"/>
      <c r="Q122" s="11"/>
      <c r="R122" s="11"/>
      <c r="S122" s="9" t="s">
        <v>126</v>
      </c>
      <c r="T122" s="9" t="s">
        <v>97</v>
      </c>
      <c r="U122" s="9" t="s">
        <v>72</v>
      </c>
    </row>
    <row r="123" customFormat="false" ht="32.8" hidden="false" customHeight="false" outlineLevel="0" collapsed="false">
      <c r="A123" s="9" t="s">
        <v>521</v>
      </c>
      <c r="B123" s="10" t="s">
        <v>34</v>
      </c>
      <c r="C123" s="9" t="s">
        <v>513</v>
      </c>
      <c r="D123" s="9" t="s">
        <v>514</v>
      </c>
      <c r="E123" s="9" t="n">
        <v>4</v>
      </c>
      <c r="F123" s="9"/>
      <c r="G123" s="9" t="s">
        <v>440</v>
      </c>
      <c r="H123" s="9" t="s">
        <v>522</v>
      </c>
      <c r="I123" s="9" t="s">
        <v>152</v>
      </c>
      <c r="J123" s="9"/>
      <c r="K123" s="9" t="s">
        <v>154</v>
      </c>
      <c r="L123" s="11"/>
      <c r="M123" s="11" t="s">
        <v>84</v>
      </c>
      <c r="N123" s="11" t="s">
        <v>109</v>
      </c>
      <c r="O123" s="11" t="s">
        <v>72</v>
      </c>
      <c r="P123" s="11"/>
      <c r="Q123" s="11"/>
      <c r="R123" s="11"/>
      <c r="S123" s="9" t="s">
        <v>84</v>
      </c>
      <c r="T123" s="9" t="s">
        <v>109</v>
      </c>
      <c r="U123" s="9" t="s">
        <v>72</v>
      </c>
    </row>
    <row r="124" customFormat="false" ht="32.8" hidden="false" customHeight="false" outlineLevel="0" collapsed="false">
      <c r="A124" s="9" t="s">
        <v>523</v>
      </c>
      <c r="B124" s="12" t="s">
        <v>35</v>
      </c>
      <c r="C124" s="9" t="s">
        <v>513</v>
      </c>
      <c r="D124" s="9" t="s">
        <v>514</v>
      </c>
      <c r="E124" s="9" t="n">
        <v>4</v>
      </c>
      <c r="F124" s="9"/>
      <c r="G124" s="9" t="s">
        <v>524</v>
      </c>
      <c r="H124" s="9" t="s">
        <v>525</v>
      </c>
      <c r="I124" s="9" t="s">
        <v>152</v>
      </c>
      <c r="J124" s="9"/>
      <c r="K124" s="9" t="s">
        <v>154</v>
      </c>
      <c r="L124" s="11"/>
      <c r="M124" s="11" t="s">
        <v>96</v>
      </c>
      <c r="N124" s="11" t="s">
        <v>65</v>
      </c>
      <c r="O124" s="11" t="s">
        <v>72</v>
      </c>
      <c r="P124" s="11"/>
      <c r="Q124" s="11"/>
      <c r="R124" s="11"/>
      <c r="S124" s="9" t="s">
        <v>96</v>
      </c>
      <c r="T124" s="9" t="s">
        <v>65</v>
      </c>
      <c r="U124" s="9" t="s">
        <v>72</v>
      </c>
    </row>
    <row r="125" customFormat="false" ht="22.35" hidden="false" customHeight="false" outlineLevel="0" collapsed="false">
      <c r="A125" s="9" t="s">
        <v>526</v>
      </c>
      <c r="B125" s="12" t="s">
        <v>35</v>
      </c>
      <c r="C125" s="9" t="s">
        <v>513</v>
      </c>
      <c r="D125" s="9" t="s">
        <v>514</v>
      </c>
      <c r="E125" s="9" t="n">
        <v>4</v>
      </c>
      <c r="F125" s="9"/>
      <c r="G125" s="9" t="s">
        <v>228</v>
      </c>
      <c r="H125" s="9" t="s">
        <v>527</v>
      </c>
      <c r="I125" s="9" t="s">
        <v>152</v>
      </c>
      <c r="J125" s="9"/>
      <c r="K125" s="9" t="s">
        <v>154</v>
      </c>
      <c r="L125" s="11"/>
      <c r="M125" s="11" t="s">
        <v>96</v>
      </c>
      <c r="N125" s="11" t="s">
        <v>65</v>
      </c>
      <c r="O125" s="11" t="s">
        <v>86</v>
      </c>
      <c r="P125" s="11"/>
      <c r="Q125" s="11"/>
      <c r="R125" s="11"/>
      <c r="S125" s="9" t="s">
        <v>96</v>
      </c>
      <c r="T125" s="9" t="s">
        <v>65</v>
      </c>
      <c r="U125" s="9" t="s">
        <v>86</v>
      </c>
    </row>
    <row r="126" customFormat="false" ht="53.7" hidden="false" customHeight="false" outlineLevel="0" collapsed="false">
      <c r="A126" s="9" t="s">
        <v>528</v>
      </c>
      <c r="B126" s="12" t="s">
        <v>35</v>
      </c>
      <c r="C126" s="9" t="s">
        <v>513</v>
      </c>
      <c r="D126" s="9" t="s">
        <v>514</v>
      </c>
      <c r="E126" s="9" t="n">
        <v>4</v>
      </c>
      <c r="F126" s="9"/>
      <c r="G126" s="9" t="s">
        <v>435</v>
      </c>
      <c r="H126" s="9" t="s">
        <v>529</v>
      </c>
      <c r="I126" s="9" t="s">
        <v>152</v>
      </c>
      <c r="J126" s="9"/>
      <c r="K126" s="9" t="s">
        <v>154</v>
      </c>
      <c r="L126" s="11"/>
      <c r="M126" s="11" t="s">
        <v>108</v>
      </c>
      <c r="N126" s="11" t="s">
        <v>65</v>
      </c>
      <c r="O126" s="11" t="s">
        <v>72</v>
      </c>
      <c r="P126" s="11"/>
      <c r="Q126" s="11"/>
      <c r="R126" s="11"/>
      <c r="S126" s="9" t="s">
        <v>108</v>
      </c>
      <c r="T126" s="9" t="s">
        <v>65</v>
      </c>
      <c r="U126" s="9" t="s">
        <v>72</v>
      </c>
    </row>
    <row r="127" customFormat="false" ht="32.8" hidden="false" customHeight="false" outlineLevel="0" collapsed="false">
      <c r="A127" s="9" t="s">
        <v>530</v>
      </c>
      <c r="B127" s="12" t="s">
        <v>35</v>
      </c>
      <c r="C127" s="9" t="s">
        <v>513</v>
      </c>
      <c r="D127" s="9" t="s">
        <v>514</v>
      </c>
      <c r="E127" s="9" t="n">
        <v>4</v>
      </c>
      <c r="F127" s="9"/>
      <c r="G127" s="9" t="s">
        <v>255</v>
      </c>
      <c r="H127" s="9" t="s">
        <v>531</v>
      </c>
      <c r="I127" s="9" t="s">
        <v>152</v>
      </c>
      <c r="J127" s="9"/>
      <c r="K127" s="9" t="s">
        <v>154</v>
      </c>
      <c r="L127" s="11"/>
      <c r="M127" s="11" t="s">
        <v>103</v>
      </c>
      <c r="N127" s="11" t="s">
        <v>65</v>
      </c>
      <c r="O127" s="11" t="s">
        <v>72</v>
      </c>
      <c r="P127" s="11"/>
      <c r="Q127" s="11"/>
      <c r="R127" s="11"/>
      <c r="S127" s="9" t="s">
        <v>103</v>
      </c>
      <c r="T127" s="9" t="s">
        <v>65</v>
      </c>
      <c r="U127" s="9" t="s">
        <v>72</v>
      </c>
    </row>
    <row r="128" customFormat="false" ht="32.8" hidden="false" customHeight="false" outlineLevel="0" collapsed="false">
      <c r="A128" s="9" t="s">
        <v>532</v>
      </c>
      <c r="B128" s="12" t="s">
        <v>35</v>
      </c>
      <c r="C128" s="9" t="s">
        <v>533</v>
      </c>
      <c r="D128" s="9" t="s">
        <v>534</v>
      </c>
      <c r="E128" s="9" t="n">
        <v>4</v>
      </c>
      <c r="F128" s="9"/>
      <c r="G128" s="9" t="s">
        <v>164</v>
      </c>
      <c r="H128" s="9" t="s">
        <v>535</v>
      </c>
      <c r="I128" s="9" t="s">
        <v>152</v>
      </c>
      <c r="J128" s="9"/>
      <c r="K128" s="9" t="s">
        <v>154</v>
      </c>
      <c r="L128" s="11"/>
      <c r="M128" s="11" t="s">
        <v>96</v>
      </c>
      <c r="N128" s="11" t="s">
        <v>65</v>
      </c>
      <c r="O128" s="11" t="s">
        <v>72</v>
      </c>
      <c r="P128" s="11"/>
      <c r="Q128" s="11"/>
      <c r="R128" s="11"/>
      <c r="S128" s="9" t="s">
        <v>96</v>
      </c>
      <c r="T128" s="9" t="s">
        <v>65</v>
      </c>
      <c r="U128" s="9" t="s">
        <v>72</v>
      </c>
    </row>
    <row r="129" customFormat="false" ht="53.7" hidden="false" customHeight="false" outlineLevel="0" collapsed="false">
      <c r="A129" s="9" t="s">
        <v>536</v>
      </c>
      <c r="B129" s="12" t="s">
        <v>35</v>
      </c>
      <c r="C129" s="9" t="s">
        <v>533</v>
      </c>
      <c r="D129" s="9" t="s">
        <v>534</v>
      </c>
      <c r="E129" s="9" t="n">
        <v>6</v>
      </c>
      <c r="F129" s="9"/>
      <c r="G129" s="9" t="s">
        <v>160</v>
      </c>
      <c r="H129" s="9" t="s">
        <v>537</v>
      </c>
      <c r="I129" s="9" t="s">
        <v>152</v>
      </c>
      <c r="J129" s="9"/>
      <c r="K129" s="9" t="s">
        <v>154</v>
      </c>
      <c r="L129" s="11"/>
      <c r="M129" s="11" t="s">
        <v>108</v>
      </c>
      <c r="N129" s="11" t="s">
        <v>65</v>
      </c>
      <c r="O129" s="11" t="s">
        <v>86</v>
      </c>
      <c r="P129" s="11"/>
      <c r="Q129" s="11"/>
      <c r="R129" s="11"/>
      <c r="S129" s="9" t="s">
        <v>108</v>
      </c>
      <c r="T129" s="9" t="s">
        <v>65</v>
      </c>
      <c r="U129" s="9" t="s">
        <v>86</v>
      </c>
    </row>
    <row r="130" customFormat="false" ht="53.7" hidden="false" customHeight="false" outlineLevel="0" collapsed="false">
      <c r="A130" s="9" t="s">
        <v>538</v>
      </c>
      <c r="B130" s="12" t="s">
        <v>35</v>
      </c>
      <c r="C130" s="9" t="s">
        <v>533</v>
      </c>
      <c r="D130" s="9" t="s">
        <v>534</v>
      </c>
      <c r="E130" s="9" t="n">
        <v>6</v>
      </c>
      <c r="F130" s="9"/>
      <c r="G130" s="9" t="s">
        <v>156</v>
      </c>
      <c r="H130" s="9" t="s">
        <v>539</v>
      </c>
      <c r="I130" s="9" t="s">
        <v>152</v>
      </c>
      <c r="J130" s="9"/>
      <c r="K130" s="9" t="s">
        <v>154</v>
      </c>
      <c r="L130" s="11"/>
      <c r="M130" s="11" t="s">
        <v>108</v>
      </c>
      <c r="N130" s="11" t="s">
        <v>65</v>
      </c>
      <c r="O130" s="11" t="s">
        <v>86</v>
      </c>
      <c r="P130" s="11"/>
      <c r="Q130" s="11"/>
      <c r="R130" s="11"/>
      <c r="S130" s="9" t="s">
        <v>108</v>
      </c>
      <c r="T130" s="9" t="s">
        <v>65</v>
      </c>
      <c r="U130" s="9" t="s">
        <v>86</v>
      </c>
    </row>
    <row r="131" customFormat="false" ht="32.8" hidden="false" customHeight="false" outlineLevel="0" collapsed="false">
      <c r="A131" s="9" t="s">
        <v>540</v>
      </c>
      <c r="B131" s="10" t="s">
        <v>34</v>
      </c>
      <c r="C131" s="9" t="s">
        <v>533</v>
      </c>
      <c r="D131" s="9" t="s">
        <v>534</v>
      </c>
      <c r="E131" s="9" t="n">
        <v>11</v>
      </c>
      <c r="F131" s="9"/>
      <c r="G131" s="9" t="s">
        <v>541</v>
      </c>
      <c r="H131" s="9" t="s">
        <v>542</v>
      </c>
      <c r="I131" s="9" t="s">
        <v>152</v>
      </c>
      <c r="J131" s="9"/>
      <c r="K131" s="9" t="s">
        <v>154</v>
      </c>
      <c r="L131" s="11"/>
      <c r="M131" s="11" t="s">
        <v>57</v>
      </c>
      <c r="N131" s="11" t="s">
        <v>109</v>
      </c>
      <c r="O131" s="11" t="s">
        <v>86</v>
      </c>
      <c r="P131" s="11"/>
      <c r="Q131" s="11"/>
      <c r="R131" s="11"/>
      <c r="S131" s="9" t="s">
        <v>57</v>
      </c>
      <c r="T131" s="9" t="s">
        <v>109</v>
      </c>
      <c r="U131" s="9" t="s">
        <v>86</v>
      </c>
    </row>
    <row r="132" customFormat="false" ht="32.8" hidden="false" customHeight="false" outlineLevel="0" collapsed="false">
      <c r="A132" s="9" t="s">
        <v>543</v>
      </c>
      <c r="B132" s="12" t="s">
        <v>35</v>
      </c>
      <c r="C132" s="9" t="s">
        <v>533</v>
      </c>
      <c r="D132" s="9" t="s">
        <v>534</v>
      </c>
      <c r="E132" s="9" t="n">
        <v>14</v>
      </c>
      <c r="F132" s="9"/>
      <c r="G132" s="9" t="s">
        <v>209</v>
      </c>
      <c r="H132" s="9" t="s">
        <v>544</v>
      </c>
      <c r="I132" s="9" t="s">
        <v>152</v>
      </c>
      <c r="J132" s="9"/>
      <c r="K132" s="9" t="s">
        <v>154</v>
      </c>
      <c r="L132" s="11"/>
      <c r="M132" s="11" t="s">
        <v>126</v>
      </c>
      <c r="N132" s="11" t="s">
        <v>65</v>
      </c>
      <c r="O132" s="11" t="s">
        <v>86</v>
      </c>
      <c r="P132" s="11"/>
      <c r="Q132" s="11"/>
      <c r="R132" s="11"/>
      <c r="S132" s="9" t="s">
        <v>126</v>
      </c>
      <c r="T132" s="9" t="s">
        <v>65</v>
      </c>
      <c r="U132" s="9" t="s">
        <v>86</v>
      </c>
    </row>
    <row r="133" customFormat="false" ht="32.8" hidden="false" customHeight="false" outlineLevel="0" collapsed="false">
      <c r="A133" s="9" t="s">
        <v>545</v>
      </c>
      <c r="B133" s="12" t="s">
        <v>35</v>
      </c>
      <c r="C133" s="9" t="s">
        <v>546</v>
      </c>
      <c r="D133" s="9" t="s">
        <v>547</v>
      </c>
      <c r="E133" s="9" t="n">
        <v>9</v>
      </c>
      <c r="F133" s="9"/>
      <c r="G133" s="9" t="s">
        <v>150</v>
      </c>
      <c r="H133" s="9" t="s">
        <v>548</v>
      </c>
      <c r="I133" s="9" t="s">
        <v>152</v>
      </c>
      <c r="J133" s="9" t="s">
        <v>549</v>
      </c>
      <c r="K133" s="9" t="s">
        <v>154</v>
      </c>
      <c r="L133" s="11"/>
      <c r="M133" s="11" t="s">
        <v>57</v>
      </c>
      <c r="N133" s="11" t="s">
        <v>124</v>
      </c>
      <c r="O133" s="11" t="s">
        <v>72</v>
      </c>
      <c r="P133" s="11"/>
      <c r="Q133" s="11"/>
      <c r="R133" s="11"/>
      <c r="S133" s="9" t="s">
        <v>57</v>
      </c>
      <c r="T133" s="9" t="s">
        <v>124</v>
      </c>
      <c r="U133" s="9" t="s">
        <v>72</v>
      </c>
    </row>
    <row r="134" customFormat="false" ht="22.35" hidden="false" customHeight="false" outlineLevel="0" collapsed="false">
      <c r="A134" s="9" t="s">
        <v>550</v>
      </c>
      <c r="B134" s="12" t="s">
        <v>35</v>
      </c>
      <c r="C134" s="9" t="s">
        <v>546</v>
      </c>
      <c r="D134" s="9" t="s">
        <v>547</v>
      </c>
      <c r="E134" s="9" t="n">
        <v>9</v>
      </c>
      <c r="F134" s="9"/>
      <c r="G134" s="9" t="s">
        <v>541</v>
      </c>
      <c r="H134" s="9" t="s">
        <v>551</v>
      </c>
      <c r="I134" s="9" t="s">
        <v>152</v>
      </c>
      <c r="J134" s="9"/>
      <c r="K134" s="9" t="s">
        <v>154</v>
      </c>
      <c r="L134" s="11"/>
      <c r="M134" s="11" t="s">
        <v>123</v>
      </c>
      <c r="N134" s="11" t="s">
        <v>65</v>
      </c>
      <c r="O134" s="11" t="s">
        <v>72</v>
      </c>
      <c r="P134" s="11"/>
      <c r="Q134" s="11"/>
      <c r="R134" s="11"/>
      <c r="S134" s="9" t="s">
        <v>123</v>
      </c>
      <c r="T134" s="9" t="s">
        <v>65</v>
      </c>
      <c r="U134" s="9" t="s">
        <v>72</v>
      </c>
    </row>
    <row r="135" customFormat="false" ht="32.8" hidden="false" customHeight="false" outlineLevel="0" collapsed="false">
      <c r="A135" s="9" t="s">
        <v>552</v>
      </c>
      <c r="B135" s="12" t="s">
        <v>35</v>
      </c>
      <c r="C135" s="9" t="s">
        <v>546</v>
      </c>
      <c r="D135" s="9" t="s">
        <v>547</v>
      </c>
      <c r="E135" s="9" t="n">
        <v>9</v>
      </c>
      <c r="F135" s="9" t="s">
        <v>553</v>
      </c>
      <c r="G135" s="9" t="s">
        <v>431</v>
      </c>
      <c r="H135" s="9" t="s">
        <v>554</v>
      </c>
      <c r="I135" s="9" t="s">
        <v>152</v>
      </c>
      <c r="J135" s="9"/>
      <c r="K135" s="9" t="s">
        <v>154</v>
      </c>
      <c r="L135" s="11"/>
      <c r="M135" s="11" t="s">
        <v>126</v>
      </c>
      <c r="N135" s="11" t="s">
        <v>65</v>
      </c>
      <c r="O135" s="11" t="s">
        <v>59</v>
      </c>
      <c r="P135" s="11"/>
      <c r="Q135" s="11"/>
      <c r="R135" s="11"/>
      <c r="S135" s="9" t="s">
        <v>126</v>
      </c>
      <c r="T135" s="9" t="s">
        <v>65</v>
      </c>
      <c r="U135" s="9" t="s">
        <v>59</v>
      </c>
    </row>
    <row r="136" customFormat="false" ht="32.8" hidden="false" customHeight="false" outlineLevel="0" collapsed="false">
      <c r="A136" s="9" t="s">
        <v>555</v>
      </c>
      <c r="B136" s="12" t="s">
        <v>35</v>
      </c>
      <c r="C136" s="9" t="s">
        <v>546</v>
      </c>
      <c r="D136" s="9" t="s">
        <v>547</v>
      </c>
      <c r="E136" s="9" t="n">
        <v>9</v>
      </c>
      <c r="F136" s="9"/>
      <c r="G136" s="9" t="s">
        <v>556</v>
      </c>
      <c r="H136" s="9" t="s">
        <v>557</v>
      </c>
      <c r="I136" s="9" t="s">
        <v>152</v>
      </c>
      <c r="J136" s="9"/>
      <c r="K136" s="9" t="s">
        <v>154</v>
      </c>
      <c r="L136" s="11"/>
      <c r="M136" s="11" t="s">
        <v>126</v>
      </c>
      <c r="N136" s="11" t="s">
        <v>65</v>
      </c>
      <c r="O136" s="11" t="s">
        <v>72</v>
      </c>
      <c r="P136" s="11"/>
      <c r="Q136" s="11"/>
      <c r="R136" s="11"/>
      <c r="S136" s="9" t="s">
        <v>126</v>
      </c>
      <c r="T136" s="9" t="s">
        <v>65</v>
      </c>
      <c r="U136" s="9" t="s">
        <v>72</v>
      </c>
    </row>
    <row r="137" customFormat="false" ht="32.8" hidden="false" customHeight="false" outlineLevel="0" collapsed="false">
      <c r="A137" s="9" t="s">
        <v>558</v>
      </c>
      <c r="B137" s="12" t="s">
        <v>35</v>
      </c>
      <c r="C137" s="9" t="s">
        <v>546</v>
      </c>
      <c r="D137" s="9" t="s">
        <v>547</v>
      </c>
      <c r="E137" s="9" t="n">
        <v>10</v>
      </c>
      <c r="F137" s="9"/>
      <c r="G137" s="9" t="s">
        <v>160</v>
      </c>
      <c r="H137" s="9" t="s">
        <v>559</v>
      </c>
      <c r="I137" s="9" t="s">
        <v>152</v>
      </c>
      <c r="J137" s="9"/>
      <c r="K137" s="9" t="s">
        <v>154</v>
      </c>
      <c r="L137" s="11"/>
      <c r="M137" s="11" t="s">
        <v>103</v>
      </c>
      <c r="N137" s="11" t="s">
        <v>65</v>
      </c>
      <c r="O137" s="11" t="s">
        <v>72</v>
      </c>
      <c r="P137" s="11"/>
      <c r="Q137" s="11"/>
      <c r="R137" s="11"/>
      <c r="S137" s="9" t="s">
        <v>103</v>
      </c>
      <c r="T137" s="9" t="s">
        <v>65</v>
      </c>
      <c r="U137" s="9" t="s">
        <v>72</v>
      </c>
    </row>
    <row r="138" customFormat="false" ht="43.25" hidden="false" customHeight="false" outlineLevel="0" collapsed="false">
      <c r="A138" s="9" t="s">
        <v>560</v>
      </c>
      <c r="B138" s="12" t="s">
        <v>35</v>
      </c>
      <c r="C138" s="9" t="s">
        <v>546</v>
      </c>
      <c r="D138" s="9" t="s">
        <v>547</v>
      </c>
      <c r="E138" s="9" t="n">
        <v>10</v>
      </c>
      <c r="F138" s="9"/>
      <c r="G138" s="9" t="s">
        <v>156</v>
      </c>
      <c r="H138" s="9" t="s">
        <v>561</v>
      </c>
      <c r="I138" s="9" t="s">
        <v>152</v>
      </c>
      <c r="J138" s="9" t="s">
        <v>562</v>
      </c>
      <c r="K138" s="9" t="s">
        <v>154</v>
      </c>
      <c r="L138" s="11"/>
      <c r="M138" s="11" t="s">
        <v>124</v>
      </c>
      <c r="N138" s="11" t="s">
        <v>65</v>
      </c>
      <c r="O138" s="11" t="s">
        <v>72</v>
      </c>
      <c r="P138" s="11"/>
      <c r="Q138" s="11"/>
      <c r="R138" s="11"/>
      <c r="S138" s="9" t="s">
        <v>124</v>
      </c>
      <c r="T138" s="9" t="s">
        <v>65</v>
      </c>
      <c r="U138" s="9" t="s">
        <v>72</v>
      </c>
    </row>
    <row r="139" customFormat="false" ht="32.8" hidden="false" customHeight="false" outlineLevel="0" collapsed="false">
      <c r="A139" s="9" t="s">
        <v>563</v>
      </c>
      <c r="B139" s="12" t="s">
        <v>35</v>
      </c>
      <c r="C139" s="9" t="s">
        <v>546</v>
      </c>
      <c r="D139" s="9" t="s">
        <v>547</v>
      </c>
      <c r="E139" s="9" t="n">
        <v>10</v>
      </c>
      <c r="F139" s="9"/>
      <c r="G139" s="9" t="s">
        <v>164</v>
      </c>
      <c r="H139" s="9" t="s">
        <v>564</v>
      </c>
      <c r="I139" s="9" t="s">
        <v>152</v>
      </c>
      <c r="J139" s="9" t="s">
        <v>565</v>
      </c>
      <c r="K139" s="9" t="s">
        <v>154</v>
      </c>
      <c r="L139" s="11"/>
      <c r="M139" s="11" t="s">
        <v>124</v>
      </c>
      <c r="N139" s="11" t="s">
        <v>65</v>
      </c>
      <c r="O139" s="11" t="s">
        <v>72</v>
      </c>
      <c r="P139" s="11"/>
      <c r="Q139" s="11"/>
      <c r="R139" s="11"/>
      <c r="S139" s="9" t="s">
        <v>124</v>
      </c>
      <c r="T139" s="9" t="s">
        <v>65</v>
      </c>
      <c r="U139" s="9" t="s">
        <v>72</v>
      </c>
    </row>
    <row r="140" customFormat="false" ht="32.8" hidden="false" customHeight="false" outlineLevel="0" collapsed="false">
      <c r="A140" s="9" t="s">
        <v>566</v>
      </c>
      <c r="B140" s="12" t="s">
        <v>35</v>
      </c>
      <c r="C140" s="9" t="s">
        <v>567</v>
      </c>
      <c r="D140" s="9" t="s">
        <v>568</v>
      </c>
      <c r="E140" s="9" t="n">
        <v>5</v>
      </c>
      <c r="F140" s="9"/>
      <c r="G140" s="9" t="s">
        <v>156</v>
      </c>
      <c r="H140" s="9" t="s">
        <v>569</v>
      </c>
      <c r="I140" s="9" t="s">
        <v>152</v>
      </c>
      <c r="J140" s="9" t="s">
        <v>570</v>
      </c>
      <c r="K140" s="9" t="s">
        <v>154</v>
      </c>
      <c r="L140" s="11"/>
      <c r="M140" s="11" t="s">
        <v>70</v>
      </c>
      <c r="N140" s="11" t="s">
        <v>124</v>
      </c>
      <c r="O140" s="11" t="s">
        <v>72</v>
      </c>
      <c r="P140" s="11"/>
      <c r="Q140" s="11"/>
      <c r="R140" s="11"/>
      <c r="S140" s="9" t="s">
        <v>70</v>
      </c>
      <c r="T140" s="9" t="s">
        <v>124</v>
      </c>
      <c r="U140" s="9" t="s">
        <v>72</v>
      </c>
    </row>
    <row r="141" customFormat="false" ht="53.7" hidden="false" customHeight="false" outlineLevel="0" collapsed="false">
      <c r="A141" s="9" t="s">
        <v>571</v>
      </c>
      <c r="B141" s="12" t="s">
        <v>35</v>
      </c>
      <c r="C141" s="9" t="s">
        <v>567</v>
      </c>
      <c r="D141" s="9" t="s">
        <v>568</v>
      </c>
      <c r="E141" s="9" t="n">
        <v>6</v>
      </c>
      <c r="F141" s="9"/>
      <c r="G141" s="9" t="s">
        <v>164</v>
      </c>
      <c r="H141" s="9" t="s">
        <v>572</v>
      </c>
      <c r="I141" s="9" t="s">
        <v>152</v>
      </c>
      <c r="J141" s="9"/>
      <c r="K141" s="9" t="s">
        <v>154</v>
      </c>
      <c r="L141" s="11"/>
      <c r="M141" s="11" t="s">
        <v>108</v>
      </c>
      <c r="N141" s="11" t="s">
        <v>65</v>
      </c>
      <c r="O141" s="11" t="s">
        <v>86</v>
      </c>
      <c r="P141" s="11"/>
      <c r="Q141" s="11"/>
      <c r="R141" s="11"/>
      <c r="S141" s="9" t="s">
        <v>108</v>
      </c>
      <c r="T141" s="9" t="s">
        <v>65</v>
      </c>
      <c r="U141" s="9" t="s">
        <v>86</v>
      </c>
    </row>
    <row r="142" customFormat="false" ht="22.35" hidden="false" customHeight="false" outlineLevel="0" collapsed="false">
      <c r="A142" s="9" t="s">
        <v>573</v>
      </c>
      <c r="B142" s="12" t="s">
        <v>35</v>
      </c>
      <c r="C142" s="9" t="s">
        <v>567</v>
      </c>
      <c r="D142" s="9" t="s">
        <v>568</v>
      </c>
      <c r="E142" s="9" t="n">
        <v>7</v>
      </c>
      <c r="F142" s="9"/>
      <c r="G142" s="9" t="s">
        <v>150</v>
      </c>
      <c r="H142" s="9" t="s">
        <v>574</v>
      </c>
      <c r="I142" s="9" t="s">
        <v>152</v>
      </c>
      <c r="J142" s="9"/>
      <c r="K142" s="9" t="s">
        <v>154</v>
      </c>
      <c r="L142" s="11"/>
      <c r="M142" s="11" t="s">
        <v>96</v>
      </c>
      <c r="N142" s="11" t="s">
        <v>65</v>
      </c>
      <c r="O142" s="11" t="s">
        <v>59</v>
      </c>
      <c r="P142" s="11"/>
      <c r="Q142" s="11"/>
      <c r="R142" s="11"/>
      <c r="S142" s="9" t="s">
        <v>96</v>
      </c>
      <c r="T142" s="9" t="s">
        <v>65</v>
      </c>
      <c r="U142" s="9" t="s">
        <v>59</v>
      </c>
    </row>
    <row r="143" customFormat="false" ht="43.25" hidden="false" customHeight="false" outlineLevel="0" collapsed="false">
      <c r="A143" s="9" t="s">
        <v>575</v>
      </c>
      <c r="B143" s="12" t="s">
        <v>35</v>
      </c>
      <c r="C143" s="9" t="s">
        <v>567</v>
      </c>
      <c r="D143" s="9" t="s">
        <v>568</v>
      </c>
      <c r="E143" s="9" t="n">
        <v>7</v>
      </c>
      <c r="F143" s="9"/>
      <c r="G143" s="9" t="s">
        <v>160</v>
      </c>
      <c r="H143" s="9" t="s">
        <v>576</v>
      </c>
      <c r="I143" s="9" t="s">
        <v>152</v>
      </c>
      <c r="J143" s="9" t="s">
        <v>577</v>
      </c>
      <c r="K143" s="9" t="s">
        <v>154</v>
      </c>
      <c r="L143" s="11"/>
      <c r="M143" s="11" t="s">
        <v>96</v>
      </c>
      <c r="N143" s="11" t="s">
        <v>124</v>
      </c>
      <c r="O143" s="11" t="s">
        <v>86</v>
      </c>
      <c r="P143" s="11"/>
      <c r="Q143" s="11"/>
      <c r="R143" s="11"/>
      <c r="S143" s="9" t="s">
        <v>96</v>
      </c>
      <c r="T143" s="9" t="s">
        <v>124</v>
      </c>
      <c r="U143" s="9" t="s">
        <v>86</v>
      </c>
    </row>
    <row r="144" customFormat="false" ht="22.35" hidden="false" customHeight="false" outlineLevel="0" collapsed="false">
      <c r="A144" s="9" t="s">
        <v>578</v>
      </c>
      <c r="B144" s="10" t="s">
        <v>34</v>
      </c>
      <c r="C144" s="9" t="s">
        <v>567</v>
      </c>
      <c r="D144" s="9" t="s">
        <v>568</v>
      </c>
      <c r="E144" s="9" t="n">
        <v>7</v>
      </c>
      <c r="F144" s="9"/>
      <c r="G144" s="9" t="s">
        <v>541</v>
      </c>
      <c r="H144" s="9" t="s">
        <v>579</v>
      </c>
      <c r="I144" s="9" t="s">
        <v>185</v>
      </c>
      <c r="J144" s="9"/>
      <c r="K144" s="9" t="s">
        <v>154</v>
      </c>
      <c r="L144" s="11"/>
      <c r="M144" s="11" t="s">
        <v>117</v>
      </c>
      <c r="N144" s="11" t="s">
        <v>97</v>
      </c>
      <c r="O144" s="11" t="s">
        <v>72</v>
      </c>
      <c r="P144" s="11"/>
      <c r="Q144" s="11"/>
      <c r="R144" s="11"/>
      <c r="S144" s="9" t="s">
        <v>117</v>
      </c>
      <c r="T144" s="9" t="s">
        <v>97</v>
      </c>
      <c r="U144" s="9" t="s">
        <v>72</v>
      </c>
    </row>
    <row r="145" customFormat="false" ht="43.25" hidden="false" customHeight="false" outlineLevel="0" collapsed="false">
      <c r="A145" s="9" t="s">
        <v>580</v>
      </c>
      <c r="B145" s="10" t="s">
        <v>34</v>
      </c>
      <c r="C145" s="9" t="s">
        <v>567</v>
      </c>
      <c r="D145" s="9" t="s">
        <v>568</v>
      </c>
      <c r="E145" s="9" t="n">
        <v>9</v>
      </c>
      <c r="F145" s="9"/>
      <c r="G145" s="9" t="s">
        <v>223</v>
      </c>
      <c r="H145" s="9" t="s">
        <v>581</v>
      </c>
      <c r="I145" s="9" t="s">
        <v>185</v>
      </c>
      <c r="J145" s="9" t="s">
        <v>582</v>
      </c>
      <c r="K145" s="9" t="s">
        <v>154</v>
      </c>
      <c r="L145" s="11"/>
      <c r="M145" s="11" t="s">
        <v>124</v>
      </c>
      <c r="N145" s="11" t="s">
        <v>97</v>
      </c>
      <c r="O145" s="11" t="s">
        <v>72</v>
      </c>
      <c r="P145" s="11"/>
      <c r="Q145" s="11"/>
      <c r="R145" s="11"/>
      <c r="S145" s="9" t="s">
        <v>124</v>
      </c>
      <c r="T145" s="9" t="s">
        <v>97</v>
      </c>
      <c r="U145" s="9" t="s">
        <v>72</v>
      </c>
    </row>
    <row r="146" customFormat="false" ht="32.8" hidden="false" customHeight="false" outlineLevel="0" collapsed="false">
      <c r="A146" s="9" t="s">
        <v>583</v>
      </c>
      <c r="B146" s="10" t="s">
        <v>34</v>
      </c>
      <c r="C146" s="9" t="s">
        <v>584</v>
      </c>
      <c r="D146" s="9" t="s">
        <v>585</v>
      </c>
      <c r="E146" s="9" t="n">
        <v>8</v>
      </c>
      <c r="F146" s="9"/>
      <c r="G146" s="9" t="s">
        <v>150</v>
      </c>
      <c r="H146" s="9" t="s">
        <v>586</v>
      </c>
      <c r="I146" s="9" t="s">
        <v>152</v>
      </c>
      <c r="J146" s="9"/>
      <c r="K146" s="9" t="s">
        <v>154</v>
      </c>
      <c r="L146" s="11"/>
      <c r="M146" s="11" t="s">
        <v>70</v>
      </c>
      <c r="N146" s="11" t="s">
        <v>65</v>
      </c>
      <c r="O146" s="11" t="s">
        <v>86</v>
      </c>
      <c r="P146" s="11"/>
      <c r="Q146" s="11"/>
      <c r="R146" s="11"/>
      <c r="S146" s="9" t="s">
        <v>70</v>
      </c>
      <c r="T146" s="9" t="s">
        <v>65</v>
      </c>
      <c r="U146" s="9" t="s">
        <v>86</v>
      </c>
    </row>
  </sheetData>
  <autoFilter ref="A1:U146"/>
  <conditionalFormatting sqref="M2:M146">
    <cfRule type="expression" priority="2" aboveAverage="0" equalAverage="0" bottom="0" percent="0" rank="0" text="" dxfId="6">
      <formula>$M2&lt;&gt;$S2</formula>
    </cfRule>
  </conditionalFormatting>
  <conditionalFormatting sqref="N2:N146">
    <cfRule type="expression" priority="3" aboveAverage="0" equalAverage="0" bottom="0" percent="0" rank="0" text="" dxfId="6">
      <formula>$N2&lt;&gt;$T2</formula>
    </cfRule>
  </conditionalFormatting>
  <conditionalFormatting sqref="O2:O146">
    <cfRule type="expression" priority="4" aboveAverage="0" equalAverage="0" bottom="0" percent="0" rank="0" text="" dxfId="6">
      <formula>$O2&lt;&gt;$U2</formula>
    </cfRule>
  </conditionalFormatting>
  <dataValidations count="6">
    <dataValidation allowBlank="true" errorStyle="stop" operator="between" showDropDown="false" showErrorMessage="false" showInputMessage="false" sqref="L2:L146" type="list">
      <formula1>Listas!$M$2:$M$3</formula1>
      <formula2>0</formula2>
    </dataValidation>
    <dataValidation allowBlank="true" errorStyle="stop" operator="between" showDropDown="false" showErrorMessage="false" showInputMessage="false" sqref="M2:M146" type="list">
      <formula1>Listas!$A$2:$A$14</formula1>
      <formula2>0</formula2>
    </dataValidation>
    <dataValidation allowBlank="true" errorStyle="stop" operator="between" showDropDown="false" showErrorMessage="false" showInputMessage="false" sqref="N2:N146" type="list">
      <formula1>Listas!$B$2:$B$12</formula1>
      <formula2>0</formula2>
    </dataValidation>
    <dataValidation allowBlank="true" errorStyle="stop" operator="between" showDropDown="false" showErrorMessage="false" showInputMessage="false" sqref="O2:O146" type="list">
      <formula1>Listas!$C$2:$C$4</formula1>
      <formula2>0</formula2>
    </dataValidation>
    <dataValidation allowBlank="true" errorStyle="stop" operator="between" showDropDown="false" showErrorMessage="false" showInputMessage="false" sqref="P2:P146" type="list">
      <formula1>Listas!$N$2:$N$5</formula1>
      <formula2>0</formula2>
    </dataValidation>
    <dataValidation allowBlank="true" errorStyle="stop" operator="between" showDropDown="false" showErrorMessage="false" showInputMessage="false" sqref="R2:R146" type="list">
      <formula1>Listas!$O$2:$O$2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
    <col collapsed="false" customWidth="true" hidden="false" outlineLevel="0" max="4" min="3" style="0" width="16"/>
    <col collapsed="false" customWidth="true" hidden="false" outlineLevel="0" max="5" min="5" style="0" width="5"/>
    <col collapsed="false" customWidth="true" hidden="false" outlineLevel="0" max="6" min="6" style="0" width="9"/>
    <col collapsed="false" customWidth="true" hidden="false" outlineLevel="0" max="7" min="7" style="0" width="10"/>
    <col collapsed="false" customWidth="true" hidden="false" outlineLevel="0" max="8" min="8" style="0" width="60"/>
    <col collapsed="false" customWidth="true" hidden="false" outlineLevel="0" max="9" min="9" style="0" width="11"/>
    <col collapsed="false" customWidth="true" hidden="false" outlineLevel="0" max="10" min="10" style="0" width="24"/>
    <col collapsed="false" customWidth="true" hidden="false" outlineLevel="0" max="11" min="11" style="0" width="26"/>
    <col collapsed="false" customWidth="true" hidden="false" outlineLevel="0" max="12" min="12" style="0" width="11"/>
    <col collapsed="false" customWidth="true" hidden="false" outlineLevel="0" max="13" min="13" style="0" width="9"/>
    <col collapsed="false" customWidth="true" hidden="false" outlineLevel="0" max="14" min="14" style="0" width="22"/>
    <col collapsed="false" customWidth="true" hidden="false" outlineLevel="0" max="15" min="15" style="0" width="12"/>
    <col collapsed="false" customWidth="true" hidden="false" outlineLevel="0" max="16" min="16" style="0" width="18"/>
    <col collapsed="false" customWidth="true" hidden="false" outlineLevel="0" max="17" min="17" style="0" width="12"/>
    <col collapsed="false" customWidth="true" hidden="false" outlineLevel="0" max="18" min="18" style="0" width="14"/>
    <col collapsed="false" customWidth="true" hidden="false" outlineLevel="0" max="19" min="19" style="0" width="30"/>
    <col collapsed="false" customWidth="true" hidden="false" outlineLevel="0" max="20" min="20" style="0" width="8"/>
    <col collapsed="false" customWidth="true" hidden="true" outlineLevel="0" max="24" min="21" style="0" width="13"/>
  </cols>
  <sheetData>
    <row r="1" customFormat="false" ht="43.25" hidden="false" customHeight="false" outlineLevel="0" collapsed="false">
      <c r="A1" s="4" t="s">
        <v>127</v>
      </c>
      <c r="B1" s="4" t="s">
        <v>26</v>
      </c>
      <c r="C1" s="4" t="s">
        <v>128</v>
      </c>
      <c r="D1" s="4" t="s">
        <v>129</v>
      </c>
      <c r="E1" s="4" t="s">
        <v>130</v>
      </c>
      <c r="F1" s="4" t="s">
        <v>131</v>
      </c>
      <c r="G1" s="4" t="s">
        <v>132</v>
      </c>
      <c r="H1" s="4" t="s">
        <v>133</v>
      </c>
      <c r="I1" s="4" t="s">
        <v>134</v>
      </c>
      <c r="J1" s="4" t="s">
        <v>135</v>
      </c>
      <c r="K1" s="4" t="s">
        <v>587</v>
      </c>
      <c r="L1" s="4" t="s">
        <v>136</v>
      </c>
      <c r="M1" s="4" t="s">
        <v>137</v>
      </c>
      <c r="N1" s="4" t="s">
        <v>588</v>
      </c>
      <c r="O1" s="4" t="s">
        <v>589</v>
      </c>
      <c r="P1" s="4" t="s">
        <v>590</v>
      </c>
      <c r="Q1" s="4" t="s">
        <v>591</v>
      </c>
      <c r="R1" s="4" t="s">
        <v>141</v>
      </c>
      <c r="S1" s="4" t="s">
        <v>142</v>
      </c>
      <c r="T1" s="4" t="s">
        <v>143</v>
      </c>
      <c r="U1" s="4" t="s">
        <v>592</v>
      </c>
      <c r="V1" s="4" t="s">
        <v>593</v>
      </c>
      <c r="W1" s="4" t="s">
        <v>594</v>
      </c>
      <c r="X1" s="4" t="s">
        <v>595</v>
      </c>
    </row>
    <row r="2" customFormat="false" ht="32.8" hidden="false" customHeight="false" outlineLevel="0" collapsed="false">
      <c r="A2" s="9" t="s">
        <v>596</v>
      </c>
      <c r="B2" s="10" t="s">
        <v>34</v>
      </c>
      <c r="C2" s="9" t="s">
        <v>148</v>
      </c>
      <c r="D2" s="9" t="s">
        <v>149</v>
      </c>
      <c r="E2" s="9" t="n">
        <v>7</v>
      </c>
      <c r="F2" s="9"/>
      <c r="G2" s="9" t="s">
        <v>597</v>
      </c>
      <c r="H2" s="9" t="s">
        <v>598</v>
      </c>
      <c r="I2" s="9" t="s">
        <v>152</v>
      </c>
      <c r="J2" s="9"/>
      <c r="K2" s="9" t="s">
        <v>599</v>
      </c>
      <c r="L2" s="9" t="s">
        <v>154</v>
      </c>
      <c r="M2" s="11"/>
      <c r="N2" s="11" t="s">
        <v>98</v>
      </c>
      <c r="O2" s="11" t="s">
        <v>61</v>
      </c>
      <c r="P2" s="11" t="s">
        <v>62</v>
      </c>
      <c r="Q2" s="11" t="s">
        <v>600</v>
      </c>
      <c r="R2" s="11"/>
      <c r="S2" s="11"/>
      <c r="T2" s="11"/>
      <c r="U2" s="9" t="s">
        <v>98</v>
      </c>
      <c r="V2" s="9" t="s">
        <v>61</v>
      </c>
      <c r="W2" s="9" t="s">
        <v>62</v>
      </c>
      <c r="X2" s="9" t="s">
        <v>600</v>
      </c>
    </row>
    <row r="3" customFormat="false" ht="43.25" hidden="false" customHeight="false" outlineLevel="0" collapsed="false">
      <c r="A3" s="9" t="s">
        <v>601</v>
      </c>
      <c r="B3" s="10" t="s">
        <v>34</v>
      </c>
      <c r="C3" s="9" t="s">
        <v>167</v>
      </c>
      <c r="D3" s="9" t="s">
        <v>168</v>
      </c>
      <c r="E3" s="9" t="n">
        <v>6</v>
      </c>
      <c r="F3" s="9"/>
      <c r="G3" s="9" t="s">
        <v>602</v>
      </c>
      <c r="H3" s="9" t="s">
        <v>603</v>
      </c>
      <c r="I3" s="9" t="s">
        <v>152</v>
      </c>
      <c r="J3" s="9"/>
      <c r="K3" s="9" t="s">
        <v>604</v>
      </c>
      <c r="L3" s="9" t="s">
        <v>476</v>
      </c>
      <c r="M3" s="11"/>
      <c r="N3" s="11" t="s">
        <v>73</v>
      </c>
      <c r="O3" s="11" t="s">
        <v>74</v>
      </c>
      <c r="P3" s="11" t="s">
        <v>75</v>
      </c>
      <c r="Q3" s="11"/>
      <c r="R3" s="11"/>
      <c r="S3" s="11"/>
      <c r="T3" s="11"/>
      <c r="U3" s="9" t="s">
        <v>73</v>
      </c>
      <c r="V3" s="9" t="s">
        <v>74</v>
      </c>
      <c r="W3" s="9" t="s">
        <v>75</v>
      </c>
      <c r="X3" s="9"/>
    </row>
    <row r="4" customFormat="false" ht="32.8" hidden="false" customHeight="false" outlineLevel="0" collapsed="false">
      <c r="A4" s="9" t="s">
        <v>605</v>
      </c>
      <c r="B4" s="10" t="s">
        <v>34</v>
      </c>
      <c r="C4" s="9" t="s">
        <v>167</v>
      </c>
      <c r="D4" s="9" t="s">
        <v>168</v>
      </c>
      <c r="E4" s="9" t="n">
        <v>10</v>
      </c>
      <c r="F4" s="9"/>
      <c r="G4" s="9" t="s">
        <v>597</v>
      </c>
      <c r="H4" s="9" t="s">
        <v>606</v>
      </c>
      <c r="I4" s="9" t="s">
        <v>152</v>
      </c>
      <c r="J4" s="9"/>
      <c r="K4" s="9" t="s">
        <v>604</v>
      </c>
      <c r="L4" s="9" t="s">
        <v>154</v>
      </c>
      <c r="M4" s="11"/>
      <c r="N4" s="11" t="s">
        <v>114</v>
      </c>
      <c r="O4" s="11" t="s">
        <v>74</v>
      </c>
      <c r="P4" s="11" t="s">
        <v>75</v>
      </c>
      <c r="Q4" s="11" t="s">
        <v>607</v>
      </c>
      <c r="R4" s="11"/>
      <c r="S4" s="11"/>
      <c r="T4" s="11"/>
      <c r="U4" s="9" t="s">
        <v>114</v>
      </c>
      <c r="V4" s="9" t="s">
        <v>74</v>
      </c>
      <c r="W4" s="9" t="s">
        <v>75</v>
      </c>
      <c r="X4" s="9" t="s">
        <v>607</v>
      </c>
    </row>
    <row r="5" customFormat="false" ht="64.15" hidden="false" customHeight="false" outlineLevel="0" collapsed="false">
      <c r="A5" s="9" t="s">
        <v>608</v>
      </c>
      <c r="B5" s="10" t="s">
        <v>34</v>
      </c>
      <c r="C5" s="9" t="s">
        <v>167</v>
      </c>
      <c r="D5" s="9" t="s">
        <v>168</v>
      </c>
      <c r="E5" s="9" t="n">
        <v>17</v>
      </c>
      <c r="F5" s="9"/>
      <c r="G5" s="9" t="s">
        <v>609</v>
      </c>
      <c r="H5" s="9" t="s">
        <v>610</v>
      </c>
      <c r="I5" s="9" t="s">
        <v>152</v>
      </c>
      <c r="J5" s="9" t="s">
        <v>611</v>
      </c>
      <c r="K5" s="9" t="s">
        <v>604</v>
      </c>
      <c r="L5" s="9" t="s">
        <v>154</v>
      </c>
      <c r="M5" s="11"/>
      <c r="N5" s="11" t="s">
        <v>124</v>
      </c>
      <c r="O5" s="11" t="s">
        <v>61</v>
      </c>
      <c r="P5" s="11" t="s">
        <v>89</v>
      </c>
      <c r="Q5" s="11"/>
      <c r="R5" s="11"/>
      <c r="S5" s="11"/>
      <c r="T5" s="11"/>
      <c r="U5" s="9" t="s">
        <v>124</v>
      </c>
      <c r="V5" s="9" t="s">
        <v>61</v>
      </c>
      <c r="W5" s="9" t="s">
        <v>89</v>
      </c>
      <c r="X5" s="9"/>
    </row>
    <row r="6" customFormat="false" ht="22.35" hidden="false" customHeight="false" outlineLevel="0" collapsed="false">
      <c r="A6" s="9" t="s">
        <v>612</v>
      </c>
      <c r="B6" s="13" t="s">
        <v>37</v>
      </c>
      <c r="C6" s="9" t="s">
        <v>174</v>
      </c>
      <c r="D6" s="9" t="s">
        <v>175</v>
      </c>
      <c r="E6" s="9" t="n">
        <v>4</v>
      </c>
      <c r="F6" s="9"/>
      <c r="G6" s="9" t="s">
        <v>597</v>
      </c>
      <c r="H6" s="9" t="s">
        <v>613</v>
      </c>
      <c r="I6" s="9" t="s">
        <v>152</v>
      </c>
      <c r="J6" s="9"/>
      <c r="K6" s="9" t="s">
        <v>614</v>
      </c>
      <c r="L6" s="9" t="s">
        <v>154</v>
      </c>
      <c r="M6" s="11"/>
      <c r="N6" s="11" t="s">
        <v>114</v>
      </c>
      <c r="O6" s="11" t="s">
        <v>74</v>
      </c>
      <c r="P6" s="11" t="s">
        <v>89</v>
      </c>
      <c r="Q6" s="11"/>
      <c r="R6" s="11"/>
      <c r="S6" s="11"/>
      <c r="T6" s="11"/>
      <c r="U6" s="9" t="s">
        <v>114</v>
      </c>
      <c r="V6" s="9" t="s">
        <v>74</v>
      </c>
      <c r="W6" s="9" t="s">
        <v>89</v>
      </c>
      <c r="X6" s="9"/>
    </row>
    <row r="7" customFormat="false" ht="43.25" hidden="false" customHeight="false" outlineLevel="0" collapsed="false">
      <c r="A7" s="9" t="s">
        <v>615</v>
      </c>
      <c r="B7" s="13" t="s">
        <v>37</v>
      </c>
      <c r="C7" s="9" t="s">
        <v>178</v>
      </c>
      <c r="D7" s="9" t="s">
        <v>179</v>
      </c>
      <c r="E7" s="9" t="n">
        <v>6</v>
      </c>
      <c r="F7" s="9"/>
      <c r="G7" s="9" t="s">
        <v>616</v>
      </c>
      <c r="H7" s="9" t="s">
        <v>617</v>
      </c>
      <c r="I7" s="9" t="s">
        <v>152</v>
      </c>
      <c r="J7" s="9" t="s">
        <v>618</v>
      </c>
      <c r="K7" s="9" t="s">
        <v>619</v>
      </c>
      <c r="L7" s="9" t="s">
        <v>154</v>
      </c>
      <c r="M7" s="11"/>
      <c r="N7" s="11" t="s">
        <v>124</v>
      </c>
      <c r="O7" s="11" t="s">
        <v>61</v>
      </c>
      <c r="P7" s="11" t="s">
        <v>89</v>
      </c>
      <c r="Q7" s="11"/>
      <c r="R7" s="11"/>
      <c r="S7" s="11"/>
      <c r="T7" s="11"/>
      <c r="U7" s="9" t="s">
        <v>124</v>
      </c>
      <c r="V7" s="9" t="s">
        <v>61</v>
      </c>
      <c r="W7" s="9" t="s">
        <v>89</v>
      </c>
      <c r="X7" s="9"/>
    </row>
    <row r="8" customFormat="false" ht="43.25" hidden="false" customHeight="false" outlineLevel="0" collapsed="false">
      <c r="A8" s="9" t="s">
        <v>620</v>
      </c>
      <c r="B8" s="10" t="s">
        <v>34</v>
      </c>
      <c r="C8" s="9" t="s">
        <v>178</v>
      </c>
      <c r="D8" s="9" t="s">
        <v>179</v>
      </c>
      <c r="E8" s="9" t="n">
        <v>6</v>
      </c>
      <c r="F8" s="9"/>
      <c r="G8" s="9" t="s">
        <v>621</v>
      </c>
      <c r="H8" s="9" t="s">
        <v>622</v>
      </c>
      <c r="I8" s="9" t="s">
        <v>185</v>
      </c>
      <c r="J8" s="9"/>
      <c r="K8" s="9" t="s">
        <v>619</v>
      </c>
      <c r="L8" s="9" t="s">
        <v>154</v>
      </c>
      <c r="M8" s="11"/>
      <c r="N8" s="11" t="s">
        <v>110</v>
      </c>
      <c r="O8" s="11" t="s">
        <v>61</v>
      </c>
      <c r="P8" s="11" t="s">
        <v>75</v>
      </c>
      <c r="Q8" s="11"/>
      <c r="R8" s="11"/>
      <c r="S8" s="11"/>
      <c r="T8" s="11"/>
      <c r="U8" s="9" t="s">
        <v>110</v>
      </c>
      <c r="V8" s="9" t="s">
        <v>61</v>
      </c>
      <c r="W8" s="9" t="s">
        <v>75</v>
      </c>
      <c r="X8" s="9"/>
    </row>
    <row r="9" customFormat="false" ht="74.6" hidden="false" customHeight="false" outlineLevel="0" collapsed="false">
      <c r="A9" s="9" t="s">
        <v>623</v>
      </c>
      <c r="B9" s="13" t="s">
        <v>37</v>
      </c>
      <c r="C9" s="9" t="s">
        <v>187</v>
      </c>
      <c r="D9" s="9" t="s">
        <v>188</v>
      </c>
      <c r="E9" s="9" t="n">
        <v>5</v>
      </c>
      <c r="F9" s="9"/>
      <c r="G9" s="9" t="s">
        <v>624</v>
      </c>
      <c r="H9" s="9" t="s">
        <v>625</v>
      </c>
      <c r="I9" s="9" t="s">
        <v>152</v>
      </c>
      <c r="J9" s="9"/>
      <c r="K9" s="9" t="s">
        <v>626</v>
      </c>
      <c r="L9" s="9" t="s">
        <v>154</v>
      </c>
      <c r="M9" s="11"/>
      <c r="N9" s="11" t="s">
        <v>98</v>
      </c>
      <c r="O9" s="11" t="s">
        <v>74</v>
      </c>
      <c r="P9" s="11" t="s">
        <v>75</v>
      </c>
      <c r="Q9" s="11" t="s">
        <v>627</v>
      </c>
      <c r="R9" s="11"/>
      <c r="S9" s="11"/>
      <c r="T9" s="11"/>
      <c r="U9" s="9" t="s">
        <v>98</v>
      </c>
      <c r="V9" s="9" t="s">
        <v>74</v>
      </c>
      <c r="W9" s="9" t="s">
        <v>75</v>
      </c>
      <c r="X9" s="9" t="s">
        <v>627</v>
      </c>
    </row>
    <row r="10" customFormat="false" ht="74.6" hidden="false" customHeight="false" outlineLevel="0" collapsed="false">
      <c r="A10" s="9" t="s">
        <v>628</v>
      </c>
      <c r="B10" s="13" t="s">
        <v>37</v>
      </c>
      <c r="C10" s="9" t="s">
        <v>187</v>
      </c>
      <c r="D10" s="9" t="s">
        <v>188</v>
      </c>
      <c r="E10" s="9" t="n">
        <v>7</v>
      </c>
      <c r="F10" s="9"/>
      <c r="G10" s="9" t="s">
        <v>597</v>
      </c>
      <c r="H10" s="9" t="s">
        <v>196</v>
      </c>
      <c r="I10" s="9" t="s">
        <v>152</v>
      </c>
      <c r="J10" s="9"/>
      <c r="K10" s="9" t="s">
        <v>626</v>
      </c>
      <c r="L10" s="9" t="s">
        <v>154</v>
      </c>
      <c r="M10" s="11"/>
      <c r="N10" s="11" t="s">
        <v>73</v>
      </c>
      <c r="O10" s="11" t="s">
        <v>61</v>
      </c>
      <c r="P10" s="11" t="s">
        <v>75</v>
      </c>
      <c r="Q10" s="11" t="s">
        <v>629</v>
      </c>
      <c r="R10" s="11"/>
      <c r="S10" s="11"/>
      <c r="T10" s="11"/>
      <c r="U10" s="9" t="s">
        <v>73</v>
      </c>
      <c r="V10" s="9" t="s">
        <v>61</v>
      </c>
      <c r="W10" s="9" t="s">
        <v>75</v>
      </c>
      <c r="X10" s="9" t="s">
        <v>629</v>
      </c>
    </row>
    <row r="11" customFormat="false" ht="74.6" hidden="false" customHeight="false" outlineLevel="0" collapsed="false">
      <c r="A11" s="9" t="s">
        <v>630</v>
      </c>
      <c r="B11" s="10" t="s">
        <v>34</v>
      </c>
      <c r="C11" s="9" t="s">
        <v>187</v>
      </c>
      <c r="D11" s="9" t="s">
        <v>188</v>
      </c>
      <c r="E11" s="9" t="n">
        <v>7</v>
      </c>
      <c r="F11" s="9"/>
      <c r="G11" s="9" t="s">
        <v>631</v>
      </c>
      <c r="H11" s="9" t="s">
        <v>632</v>
      </c>
      <c r="I11" s="9" t="s">
        <v>152</v>
      </c>
      <c r="J11" s="9"/>
      <c r="K11" s="9" t="s">
        <v>626</v>
      </c>
      <c r="L11" s="9" t="s">
        <v>154</v>
      </c>
      <c r="M11" s="11"/>
      <c r="N11" s="11" t="s">
        <v>125</v>
      </c>
      <c r="O11" s="11" t="s">
        <v>61</v>
      </c>
      <c r="P11" s="11" t="s">
        <v>89</v>
      </c>
      <c r="Q11" s="11"/>
      <c r="R11" s="11"/>
      <c r="S11" s="11"/>
      <c r="T11" s="11"/>
      <c r="U11" s="9" t="s">
        <v>125</v>
      </c>
      <c r="V11" s="9" t="s">
        <v>61</v>
      </c>
      <c r="W11" s="9" t="s">
        <v>89</v>
      </c>
      <c r="X11" s="9"/>
    </row>
    <row r="12" customFormat="false" ht="74.6" hidden="false" customHeight="false" outlineLevel="0" collapsed="false">
      <c r="A12" s="9" t="s">
        <v>633</v>
      </c>
      <c r="B12" s="10" t="s">
        <v>34</v>
      </c>
      <c r="C12" s="9" t="s">
        <v>215</v>
      </c>
      <c r="D12" s="9" t="s">
        <v>216</v>
      </c>
      <c r="E12" s="9" t="n">
        <v>1</v>
      </c>
      <c r="F12" s="9"/>
      <c r="G12" s="9" t="s">
        <v>597</v>
      </c>
      <c r="H12" s="9" t="s">
        <v>634</v>
      </c>
      <c r="I12" s="9" t="s">
        <v>152</v>
      </c>
      <c r="J12" s="9" t="s">
        <v>635</v>
      </c>
      <c r="K12" s="9" t="s">
        <v>636</v>
      </c>
      <c r="L12" s="9" t="s">
        <v>154</v>
      </c>
      <c r="M12" s="11"/>
      <c r="N12" s="11" t="s">
        <v>124</v>
      </c>
      <c r="O12" s="11" t="s">
        <v>74</v>
      </c>
      <c r="P12" s="11" t="s">
        <v>62</v>
      </c>
      <c r="Q12" s="11"/>
      <c r="R12" s="11"/>
      <c r="S12" s="11"/>
      <c r="T12" s="11"/>
      <c r="U12" s="9" t="s">
        <v>124</v>
      </c>
      <c r="V12" s="9" t="s">
        <v>74</v>
      </c>
      <c r="W12" s="9" t="s">
        <v>62</v>
      </c>
      <c r="X12" s="9"/>
    </row>
    <row r="13" customFormat="false" ht="74.6" hidden="false" customHeight="false" outlineLevel="0" collapsed="false">
      <c r="A13" s="9" t="s">
        <v>637</v>
      </c>
      <c r="B13" s="10" t="s">
        <v>34</v>
      </c>
      <c r="C13" s="9" t="s">
        <v>215</v>
      </c>
      <c r="D13" s="9" t="s">
        <v>216</v>
      </c>
      <c r="E13" s="9" t="n">
        <v>10</v>
      </c>
      <c r="F13" s="9"/>
      <c r="G13" s="9" t="s">
        <v>631</v>
      </c>
      <c r="H13" s="9" t="s">
        <v>638</v>
      </c>
      <c r="I13" s="9" t="s">
        <v>152</v>
      </c>
      <c r="J13" s="9" t="s">
        <v>639</v>
      </c>
      <c r="K13" s="9" t="s">
        <v>636</v>
      </c>
      <c r="L13" s="9" t="s">
        <v>154</v>
      </c>
      <c r="M13" s="11"/>
      <c r="N13" s="11" t="s">
        <v>124</v>
      </c>
      <c r="O13" s="11" t="s">
        <v>74</v>
      </c>
      <c r="P13" s="11" t="s">
        <v>75</v>
      </c>
      <c r="Q13" s="11"/>
      <c r="R13" s="11"/>
      <c r="S13" s="11"/>
      <c r="T13" s="11"/>
      <c r="U13" s="9" t="s">
        <v>124</v>
      </c>
      <c r="V13" s="9" t="s">
        <v>74</v>
      </c>
      <c r="W13" s="9" t="s">
        <v>75</v>
      </c>
      <c r="X13" s="9"/>
    </row>
    <row r="14" customFormat="false" ht="74.6" hidden="false" customHeight="false" outlineLevel="0" collapsed="false">
      <c r="A14" s="9" t="s">
        <v>640</v>
      </c>
      <c r="B14" s="10" t="s">
        <v>34</v>
      </c>
      <c r="C14" s="9" t="s">
        <v>215</v>
      </c>
      <c r="D14" s="9" t="s">
        <v>216</v>
      </c>
      <c r="E14" s="9" t="n">
        <v>11</v>
      </c>
      <c r="F14" s="9"/>
      <c r="G14" s="9" t="s">
        <v>641</v>
      </c>
      <c r="H14" s="9" t="s">
        <v>642</v>
      </c>
      <c r="I14" s="9" t="s">
        <v>152</v>
      </c>
      <c r="J14" s="9"/>
      <c r="K14" s="9" t="s">
        <v>636</v>
      </c>
      <c r="L14" s="9" t="s">
        <v>154</v>
      </c>
      <c r="M14" s="11"/>
      <c r="N14" s="11" t="s">
        <v>98</v>
      </c>
      <c r="O14" s="11" t="s">
        <v>74</v>
      </c>
      <c r="P14" s="11" t="s">
        <v>62</v>
      </c>
      <c r="Q14" s="11" t="s">
        <v>627</v>
      </c>
      <c r="R14" s="11"/>
      <c r="S14" s="11"/>
      <c r="T14" s="11"/>
      <c r="U14" s="9" t="s">
        <v>98</v>
      </c>
      <c r="V14" s="9" t="s">
        <v>74</v>
      </c>
      <c r="W14" s="9" t="s">
        <v>62</v>
      </c>
      <c r="X14" s="9" t="s">
        <v>627</v>
      </c>
    </row>
    <row r="15" customFormat="false" ht="64.15" hidden="false" customHeight="false" outlineLevel="0" collapsed="false">
      <c r="A15" s="9" t="s">
        <v>643</v>
      </c>
      <c r="B15" s="13" t="s">
        <v>37</v>
      </c>
      <c r="C15" s="9" t="s">
        <v>231</v>
      </c>
      <c r="D15" s="9" t="s">
        <v>232</v>
      </c>
      <c r="E15" s="9" t="n">
        <v>10</v>
      </c>
      <c r="F15" s="9"/>
      <c r="G15" s="9" t="s">
        <v>644</v>
      </c>
      <c r="H15" s="9" t="s">
        <v>645</v>
      </c>
      <c r="I15" s="9" t="s">
        <v>152</v>
      </c>
      <c r="J15" s="9"/>
      <c r="K15" s="9" t="s">
        <v>646</v>
      </c>
      <c r="L15" s="9" t="s">
        <v>154</v>
      </c>
      <c r="M15" s="11"/>
      <c r="N15" s="11" t="s">
        <v>98</v>
      </c>
      <c r="O15" s="11" t="s">
        <v>61</v>
      </c>
      <c r="P15" s="11" t="s">
        <v>75</v>
      </c>
      <c r="Q15" s="11" t="s">
        <v>607</v>
      </c>
      <c r="R15" s="11"/>
      <c r="S15" s="11"/>
      <c r="T15" s="11"/>
      <c r="U15" s="9" t="s">
        <v>98</v>
      </c>
      <c r="V15" s="9" t="s">
        <v>61</v>
      </c>
      <c r="W15" s="9" t="s">
        <v>75</v>
      </c>
      <c r="X15" s="9" t="s">
        <v>607</v>
      </c>
    </row>
    <row r="16" customFormat="false" ht="158.2" hidden="false" customHeight="false" outlineLevel="0" collapsed="false">
      <c r="A16" s="9" t="s">
        <v>647</v>
      </c>
      <c r="B16" s="10" t="s">
        <v>34</v>
      </c>
      <c r="C16" s="9" t="s">
        <v>244</v>
      </c>
      <c r="D16" s="9" t="s">
        <v>245</v>
      </c>
      <c r="E16" s="9" t="n">
        <v>1</v>
      </c>
      <c r="F16" s="9"/>
      <c r="G16" s="9" t="s">
        <v>609</v>
      </c>
      <c r="H16" s="9" t="s">
        <v>648</v>
      </c>
      <c r="I16" s="9" t="s">
        <v>152</v>
      </c>
      <c r="J16" s="9" t="s">
        <v>649</v>
      </c>
      <c r="K16" s="9" t="s">
        <v>650</v>
      </c>
      <c r="L16" s="9" t="s">
        <v>154</v>
      </c>
      <c r="M16" s="11"/>
      <c r="N16" s="11" t="s">
        <v>124</v>
      </c>
      <c r="O16" s="11" t="s">
        <v>88</v>
      </c>
      <c r="P16" s="11" t="s">
        <v>89</v>
      </c>
      <c r="Q16" s="11"/>
      <c r="R16" s="11"/>
      <c r="S16" s="11"/>
      <c r="T16" s="11"/>
      <c r="U16" s="9" t="s">
        <v>124</v>
      </c>
      <c r="V16" s="9" t="s">
        <v>88</v>
      </c>
      <c r="W16" s="9" t="s">
        <v>89</v>
      </c>
      <c r="X16" s="9"/>
    </row>
    <row r="17" customFormat="false" ht="158.2" hidden="false" customHeight="false" outlineLevel="0" collapsed="false">
      <c r="A17" s="9" t="s">
        <v>651</v>
      </c>
      <c r="B17" s="10" t="s">
        <v>34</v>
      </c>
      <c r="C17" s="9" t="s">
        <v>244</v>
      </c>
      <c r="D17" s="9" t="s">
        <v>245</v>
      </c>
      <c r="E17" s="9" t="n">
        <v>8</v>
      </c>
      <c r="F17" s="9"/>
      <c r="G17" s="9" t="s">
        <v>652</v>
      </c>
      <c r="H17" s="9" t="s">
        <v>653</v>
      </c>
      <c r="I17" s="9" t="s">
        <v>152</v>
      </c>
      <c r="J17" s="9"/>
      <c r="K17" s="9" t="s">
        <v>650</v>
      </c>
      <c r="L17" s="9" t="s">
        <v>154</v>
      </c>
      <c r="M17" s="11"/>
      <c r="N17" s="11" t="s">
        <v>98</v>
      </c>
      <c r="O17" s="11" t="s">
        <v>74</v>
      </c>
      <c r="P17" s="11" t="s">
        <v>75</v>
      </c>
      <c r="Q17" s="11"/>
      <c r="R17" s="11"/>
      <c r="S17" s="11"/>
      <c r="T17" s="11"/>
      <c r="U17" s="9" t="s">
        <v>98</v>
      </c>
      <c r="V17" s="9" t="s">
        <v>74</v>
      </c>
      <c r="W17" s="9" t="s">
        <v>75</v>
      </c>
      <c r="X17" s="9"/>
    </row>
    <row r="18" customFormat="false" ht="158.2" hidden="false" customHeight="false" outlineLevel="0" collapsed="false">
      <c r="A18" s="9" t="s">
        <v>654</v>
      </c>
      <c r="B18" s="10" t="s">
        <v>34</v>
      </c>
      <c r="C18" s="9" t="s">
        <v>244</v>
      </c>
      <c r="D18" s="9" t="s">
        <v>245</v>
      </c>
      <c r="E18" s="9" t="n">
        <v>8</v>
      </c>
      <c r="F18" s="9"/>
      <c r="G18" s="9" t="s">
        <v>602</v>
      </c>
      <c r="H18" s="9" t="s">
        <v>256</v>
      </c>
      <c r="I18" s="9" t="s">
        <v>152</v>
      </c>
      <c r="J18" s="9"/>
      <c r="K18" s="9" t="s">
        <v>650</v>
      </c>
      <c r="L18" s="9" t="s">
        <v>154</v>
      </c>
      <c r="M18" s="11"/>
      <c r="N18" s="11" t="s">
        <v>114</v>
      </c>
      <c r="O18" s="11" t="s">
        <v>74</v>
      </c>
      <c r="P18" s="11" t="s">
        <v>89</v>
      </c>
      <c r="Q18" s="11" t="s">
        <v>655</v>
      </c>
      <c r="R18" s="11"/>
      <c r="S18" s="11"/>
      <c r="T18" s="11"/>
      <c r="U18" s="9" t="s">
        <v>114</v>
      </c>
      <c r="V18" s="9" t="s">
        <v>74</v>
      </c>
      <c r="W18" s="9" t="s">
        <v>89</v>
      </c>
      <c r="X18" s="9" t="s">
        <v>655</v>
      </c>
    </row>
    <row r="19" customFormat="false" ht="158.2" hidden="false" customHeight="false" outlineLevel="0" collapsed="false">
      <c r="A19" s="9" t="s">
        <v>656</v>
      </c>
      <c r="B19" s="10" t="s">
        <v>34</v>
      </c>
      <c r="C19" s="9" t="s">
        <v>244</v>
      </c>
      <c r="D19" s="9" t="s">
        <v>245</v>
      </c>
      <c r="E19" s="9" t="n">
        <v>13</v>
      </c>
      <c r="F19" s="9"/>
      <c r="G19" s="9" t="s">
        <v>657</v>
      </c>
      <c r="H19" s="9" t="s">
        <v>658</v>
      </c>
      <c r="I19" s="9" t="s">
        <v>152</v>
      </c>
      <c r="J19" s="9"/>
      <c r="K19" s="9" t="s">
        <v>650</v>
      </c>
      <c r="L19" s="9" t="s">
        <v>154</v>
      </c>
      <c r="M19" s="11"/>
      <c r="N19" s="11" t="s">
        <v>110</v>
      </c>
      <c r="O19" s="11" t="s">
        <v>61</v>
      </c>
      <c r="P19" s="11" t="s">
        <v>75</v>
      </c>
      <c r="Q19" s="11"/>
      <c r="R19" s="11"/>
      <c r="S19" s="11"/>
      <c r="T19" s="11"/>
      <c r="U19" s="9" t="s">
        <v>110</v>
      </c>
      <c r="V19" s="9" t="s">
        <v>61</v>
      </c>
      <c r="W19" s="9" t="s">
        <v>75</v>
      </c>
      <c r="X19" s="9"/>
    </row>
    <row r="20" customFormat="false" ht="158.2" hidden="false" customHeight="false" outlineLevel="0" collapsed="false">
      <c r="A20" s="9" t="s">
        <v>659</v>
      </c>
      <c r="B20" s="10" t="s">
        <v>34</v>
      </c>
      <c r="C20" s="9" t="s">
        <v>244</v>
      </c>
      <c r="D20" s="9" t="s">
        <v>245</v>
      </c>
      <c r="E20" s="9" t="n">
        <v>14</v>
      </c>
      <c r="F20" s="9"/>
      <c r="G20" s="9" t="s">
        <v>660</v>
      </c>
      <c r="H20" s="9" t="s">
        <v>661</v>
      </c>
      <c r="I20" s="9" t="s">
        <v>152</v>
      </c>
      <c r="J20" s="9" t="s">
        <v>662</v>
      </c>
      <c r="K20" s="9" t="s">
        <v>650</v>
      </c>
      <c r="L20" s="9" t="s">
        <v>154</v>
      </c>
      <c r="M20" s="11"/>
      <c r="N20" s="11" t="s">
        <v>124</v>
      </c>
      <c r="O20" s="11" t="s">
        <v>61</v>
      </c>
      <c r="P20" s="11" t="s">
        <v>89</v>
      </c>
      <c r="Q20" s="11"/>
      <c r="R20" s="11"/>
      <c r="S20" s="11"/>
      <c r="T20" s="11"/>
      <c r="U20" s="9" t="s">
        <v>124</v>
      </c>
      <c r="V20" s="9" t="s">
        <v>61</v>
      </c>
      <c r="W20" s="9" t="s">
        <v>89</v>
      </c>
      <c r="X20" s="9"/>
    </row>
    <row r="21" customFormat="false" ht="43.25" hidden="false" customHeight="false" outlineLevel="0" collapsed="false">
      <c r="A21" s="9" t="s">
        <v>663</v>
      </c>
      <c r="B21" s="10" t="s">
        <v>34</v>
      </c>
      <c r="C21" s="9" t="s">
        <v>272</v>
      </c>
      <c r="D21" s="9" t="s">
        <v>273</v>
      </c>
      <c r="E21" s="9" t="n">
        <v>5</v>
      </c>
      <c r="F21" s="9"/>
      <c r="G21" s="9" t="s">
        <v>597</v>
      </c>
      <c r="H21" s="9" t="s">
        <v>664</v>
      </c>
      <c r="I21" s="9" t="s">
        <v>152</v>
      </c>
      <c r="J21" s="9"/>
      <c r="K21" s="9" t="s">
        <v>665</v>
      </c>
      <c r="L21" s="9" t="s">
        <v>154</v>
      </c>
      <c r="M21" s="11"/>
      <c r="N21" s="11" t="s">
        <v>114</v>
      </c>
      <c r="O21" s="11" t="s">
        <v>74</v>
      </c>
      <c r="P21" s="11" t="s">
        <v>75</v>
      </c>
      <c r="Q21" s="11"/>
      <c r="R21" s="11"/>
      <c r="S21" s="11"/>
      <c r="T21" s="11"/>
      <c r="U21" s="9" t="s">
        <v>114</v>
      </c>
      <c r="V21" s="9" t="s">
        <v>74</v>
      </c>
      <c r="W21" s="9" t="s">
        <v>75</v>
      </c>
      <c r="X21" s="9"/>
    </row>
    <row r="22" customFormat="false" ht="43.25" hidden="false" customHeight="false" outlineLevel="0" collapsed="false">
      <c r="A22" s="9" t="s">
        <v>666</v>
      </c>
      <c r="B22" s="13" t="s">
        <v>37</v>
      </c>
      <c r="C22" s="9" t="s">
        <v>280</v>
      </c>
      <c r="D22" s="9" t="s">
        <v>281</v>
      </c>
      <c r="E22" s="9" t="n">
        <v>13</v>
      </c>
      <c r="F22" s="9"/>
      <c r="G22" s="9" t="s">
        <v>609</v>
      </c>
      <c r="H22" s="9" t="s">
        <v>667</v>
      </c>
      <c r="I22" s="9" t="s">
        <v>185</v>
      </c>
      <c r="J22" s="9"/>
      <c r="K22" s="9" t="s">
        <v>668</v>
      </c>
      <c r="L22" s="9" t="s">
        <v>154</v>
      </c>
      <c r="M22" s="11"/>
      <c r="N22" s="11" t="s">
        <v>60</v>
      </c>
      <c r="O22" s="11" t="s">
        <v>74</v>
      </c>
      <c r="P22" s="11" t="s">
        <v>75</v>
      </c>
      <c r="Q22" s="11"/>
      <c r="R22" s="11"/>
      <c r="S22" s="11"/>
      <c r="T22" s="11"/>
      <c r="U22" s="9" t="s">
        <v>60</v>
      </c>
      <c r="V22" s="9" t="s">
        <v>74</v>
      </c>
      <c r="W22" s="9" t="s">
        <v>75</v>
      </c>
      <c r="X22" s="9"/>
    </row>
    <row r="23" customFormat="false" ht="32.8" hidden="false" customHeight="false" outlineLevel="0" collapsed="false">
      <c r="A23" s="9" t="s">
        <v>669</v>
      </c>
      <c r="B23" s="13" t="s">
        <v>37</v>
      </c>
      <c r="C23" s="9" t="s">
        <v>280</v>
      </c>
      <c r="D23" s="9" t="s">
        <v>281</v>
      </c>
      <c r="E23" s="9" t="n">
        <v>22</v>
      </c>
      <c r="F23" s="9"/>
      <c r="G23" s="9" t="s">
        <v>652</v>
      </c>
      <c r="H23" s="9" t="s">
        <v>670</v>
      </c>
      <c r="I23" s="9" t="s">
        <v>152</v>
      </c>
      <c r="J23" s="9"/>
      <c r="K23" s="9" t="s">
        <v>668</v>
      </c>
      <c r="L23" s="9" t="s">
        <v>154</v>
      </c>
      <c r="M23" s="11"/>
      <c r="N23" s="11" t="s">
        <v>73</v>
      </c>
      <c r="O23" s="11" t="s">
        <v>74</v>
      </c>
      <c r="P23" s="11" t="s">
        <v>89</v>
      </c>
      <c r="Q23" s="11"/>
      <c r="R23" s="11"/>
      <c r="S23" s="11"/>
      <c r="T23" s="11"/>
      <c r="U23" s="9" t="s">
        <v>73</v>
      </c>
      <c r="V23" s="9" t="s">
        <v>74</v>
      </c>
      <c r="W23" s="9" t="s">
        <v>89</v>
      </c>
      <c r="X23" s="9"/>
    </row>
    <row r="24" customFormat="false" ht="32.8" hidden="false" customHeight="false" outlineLevel="0" collapsed="false">
      <c r="A24" s="9" t="s">
        <v>671</v>
      </c>
      <c r="B24" s="10" t="s">
        <v>34</v>
      </c>
      <c r="C24" s="9" t="s">
        <v>280</v>
      </c>
      <c r="D24" s="9" t="s">
        <v>281</v>
      </c>
      <c r="E24" s="9" t="n">
        <v>23</v>
      </c>
      <c r="F24" s="9"/>
      <c r="G24" s="9" t="s">
        <v>602</v>
      </c>
      <c r="H24" s="9" t="s">
        <v>282</v>
      </c>
      <c r="I24" s="9" t="s">
        <v>152</v>
      </c>
      <c r="J24" s="9"/>
      <c r="K24" s="9" t="s">
        <v>668</v>
      </c>
      <c r="L24" s="9" t="s">
        <v>154</v>
      </c>
      <c r="M24" s="11"/>
      <c r="N24" s="11" t="s">
        <v>125</v>
      </c>
      <c r="O24" s="11" t="s">
        <v>61</v>
      </c>
      <c r="P24" s="11" t="s">
        <v>89</v>
      </c>
      <c r="Q24" s="11" t="s">
        <v>672</v>
      </c>
      <c r="R24" s="11"/>
      <c r="S24" s="11"/>
      <c r="T24" s="11"/>
      <c r="U24" s="9" t="s">
        <v>125</v>
      </c>
      <c r="V24" s="9" t="s">
        <v>61</v>
      </c>
      <c r="W24" s="9" t="s">
        <v>89</v>
      </c>
      <c r="X24" s="9" t="s">
        <v>672</v>
      </c>
    </row>
    <row r="25" customFormat="false" ht="32.8" hidden="false" customHeight="false" outlineLevel="0" collapsed="false">
      <c r="A25" s="9" t="s">
        <v>673</v>
      </c>
      <c r="B25" s="10" t="s">
        <v>34</v>
      </c>
      <c r="C25" s="9" t="s">
        <v>280</v>
      </c>
      <c r="D25" s="9" t="s">
        <v>281</v>
      </c>
      <c r="E25" s="9" t="n">
        <v>27</v>
      </c>
      <c r="F25" s="9"/>
      <c r="G25" s="9" t="s">
        <v>657</v>
      </c>
      <c r="H25" s="9" t="s">
        <v>674</v>
      </c>
      <c r="I25" s="9" t="s">
        <v>152</v>
      </c>
      <c r="J25" s="9"/>
      <c r="K25" s="9" t="s">
        <v>668</v>
      </c>
      <c r="L25" s="9" t="s">
        <v>154</v>
      </c>
      <c r="M25" s="11"/>
      <c r="N25" s="11" t="s">
        <v>125</v>
      </c>
      <c r="O25" s="11" t="s">
        <v>61</v>
      </c>
      <c r="P25" s="11" t="s">
        <v>89</v>
      </c>
      <c r="Q25" s="11"/>
      <c r="R25" s="11"/>
      <c r="S25" s="11"/>
      <c r="T25" s="11"/>
      <c r="U25" s="9" t="s">
        <v>125</v>
      </c>
      <c r="V25" s="9" t="s">
        <v>61</v>
      </c>
      <c r="W25" s="9" t="s">
        <v>89</v>
      </c>
      <c r="X25" s="9"/>
    </row>
    <row r="26" customFormat="false" ht="32.8" hidden="false" customHeight="false" outlineLevel="0" collapsed="false">
      <c r="A26" s="9" t="s">
        <v>675</v>
      </c>
      <c r="B26" s="10" t="s">
        <v>34</v>
      </c>
      <c r="C26" s="9" t="s">
        <v>287</v>
      </c>
      <c r="D26" s="9" t="s">
        <v>288</v>
      </c>
      <c r="E26" s="9" t="n">
        <v>5</v>
      </c>
      <c r="F26" s="9"/>
      <c r="G26" s="9" t="s">
        <v>597</v>
      </c>
      <c r="H26" s="9" t="s">
        <v>676</v>
      </c>
      <c r="I26" s="9" t="s">
        <v>185</v>
      </c>
      <c r="J26" s="9"/>
      <c r="K26" s="9" t="s">
        <v>677</v>
      </c>
      <c r="L26" s="9" t="s">
        <v>154</v>
      </c>
      <c r="M26" s="11"/>
      <c r="N26" s="11" t="s">
        <v>110</v>
      </c>
      <c r="O26" s="11" t="s">
        <v>74</v>
      </c>
      <c r="P26" s="11" t="s">
        <v>75</v>
      </c>
      <c r="Q26" s="11"/>
      <c r="R26" s="11"/>
      <c r="S26" s="11"/>
      <c r="T26" s="11"/>
      <c r="U26" s="9" t="s">
        <v>110</v>
      </c>
      <c r="V26" s="9" t="s">
        <v>74</v>
      </c>
      <c r="W26" s="9" t="s">
        <v>75</v>
      </c>
      <c r="X26" s="9"/>
    </row>
    <row r="27" customFormat="false" ht="53.7" hidden="false" customHeight="false" outlineLevel="0" collapsed="false">
      <c r="A27" s="9" t="s">
        <v>678</v>
      </c>
      <c r="B27" s="10" t="s">
        <v>34</v>
      </c>
      <c r="C27" s="9" t="s">
        <v>287</v>
      </c>
      <c r="D27" s="9" t="s">
        <v>288</v>
      </c>
      <c r="E27" s="9" t="n">
        <v>5</v>
      </c>
      <c r="F27" s="9"/>
      <c r="G27" s="9" t="s">
        <v>621</v>
      </c>
      <c r="H27" s="9" t="s">
        <v>679</v>
      </c>
      <c r="I27" s="9" t="s">
        <v>185</v>
      </c>
      <c r="J27" s="9" t="s">
        <v>680</v>
      </c>
      <c r="K27" s="9" t="s">
        <v>677</v>
      </c>
      <c r="L27" s="9" t="s">
        <v>154</v>
      </c>
      <c r="M27" s="11"/>
      <c r="N27" s="11" t="s">
        <v>124</v>
      </c>
      <c r="O27" s="11" t="s">
        <v>61</v>
      </c>
      <c r="P27" s="11" t="s">
        <v>62</v>
      </c>
      <c r="Q27" s="11" t="s">
        <v>607</v>
      </c>
      <c r="R27" s="11"/>
      <c r="S27" s="11"/>
      <c r="T27" s="11"/>
      <c r="U27" s="9" t="s">
        <v>124</v>
      </c>
      <c r="V27" s="9" t="s">
        <v>61</v>
      </c>
      <c r="W27" s="9" t="s">
        <v>62</v>
      </c>
      <c r="X27" s="9" t="s">
        <v>607</v>
      </c>
    </row>
    <row r="28" customFormat="false" ht="53.7" hidden="false" customHeight="false" outlineLevel="0" collapsed="false">
      <c r="A28" s="9" t="s">
        <v>681</v>
      </c>
      <c r="B28" s="10" t="s">
        <v>34</v>
      </c>
      <c r="C28" s="9" t="s">
        <v>294</v>
      </c>
      <c r="D28" s="9" t="s">
        <v>295</v>
      </c>
      <c r="E28" s="9" t="n">
        <v>3</v>
      </c>
      <c r="F28" s="9"/>
      <c r="G28" s="9" t="s">
        <v>602</v>
      </c>
      <c r="H28" s="9" t="s">
        <v>682</v>
      </c>
      <c r="I28" s="9" t="s">
        <v>152</v>
      </c>
      <c r="J28" s="9"/>
      <c r="K28" s="9" t="s">
        <v>683</v>
      </c>
      <c r="L28" s="9" t="s">
        <v>154</v>
      </c>
      <c r="M28" s="11"/>
      <c r="N28" s="11" t="s">
        <v>122</v>
      </c>
      <c r="O28" s="11" t="s">
        <v>74</v>
      </c>
      <c r="P28" s="11" t="s">
        <v>75</v>
      </c>
      <c r="Q28" s="11" t="s">
        <v>672</v>
      </c>
      <c r="R28" s="11"/>
      <c r="S28" s="11"/>
      <c r="T28" s="11"/>
      <c r="U28" s="9" t="s">
        <v>122</v>
      </c>
      <c r="V28" s="9" t="s">
        <v>74</v>
      </c>
      <c r="W28" s="9" t="s">
        <v>75</v>
      </c>
      <c r="X28" s="9" t="s">
        <v>672</v>
      </c>
    </row>
    <row r="29" customFormat="false" ht="53.7" hidden="false" customHeight="false" outlineLevel="0" collapsed="false">
      <c r="A29" s="9" t="s">
        <v>684</v>
      </c>
      <c r="B29" s="10" t="s">
        <v>34</v>
      </c>
      <c r="C29" s="9" t="s">
        <v>294</v>
      </c>
      <c r="D29" s="9" t="s">
        <v>295</v>
      </c>
      <c r="E29" s="9" t="n">
        <v>4</v>
      </c>
      <c r="F29" s="9"/>
      <c r="G29" s="9" t="s">
        <v>652</v>
      </c>
      <c r="H29" s="9" t="s">
        <v>685</v>
      </c>
      <c r="I29" s="9" t="s">
        <v>152</v>
      </c>
      <c r="J29" s="9"/>
      <c r="K29" s="9" t="s">
        <v>683</v>
      </c>
      <c r="L29" s="9" t="s">
        <v>154</v>
      </c>
      <c r="M29" s="11"/>
      <c r="N29" s="11" t="s">
        <v>114</v>
      </c>
      <c r="O29" s="11" t="s">
        <v>74</v>
      </c>
      <c r="P29" s="11" t="s">
        <v>75</v>
      </c>
      <c r="Q29" s="11" t="s">
        <v>607</v>
      </c>
      <c r="R29" s="11"/>
      <c r="S29" s="11"/>
      <c r="T29" s="11"/>
      <c r="U29" s="9" t="s">
        <v>114</v>
      </c>
      <c r="V29" s="9" t="s">
        <v>74</v>
      </c>
      <c r="W29" s="9" t="s">
        <v>75</v>
      </c>
      <c r="X29" s="9" t="s">
        <v>607</v>
      </c>
    </row>
    <row r="30" customFormat="false" ht="53.7" hidden="false" customHeight="false" outlineLevel="0" collapsed="false">
      <c r="A30" s="9" t="s">
        <v>686</v>
      </c>
      <c r="B30" s="10" t="s">
        <v>34</v>
      </c>
      <c r="C30" s="9" t="s">
        <v>294</v>
      </c>
      <c r="D30" s="9" t="s">
        <v>295</v>
      </c>
      <c r="E30" s="9" t="n">
        <v>5</v>
      </c>
      <c r="F30" s="9"/>
      <c r="G30" s="9" t="s">
        <v>609</v>
      </c>
      <c r="H30" s="9" t="s">
        <v>687</v>
      </c>
      <c r="I30" s="9" t="s">
        <v>152</v>
      </c>
      <c r="J30" s="9" t="s">
        <v>688</v>
      </c>
      <c r="K30" s="9" t="s">
        <v>683</v>
      </c>
      <c r="L30" s="9" t="s">
        <v>154</v>
      </c>
      <c r="M30" s="11"/>
      <c r="N30" s="11" t="s">
        <v>124</v>
      </c>
      <c r="O30" s="11" t="s">
        <v>61</v>
      </c>
      <c r="P30" s="11" t="s">
        <v>75</v>
      </c>
      <c r="Q30" s="11"/>
      <c r="R30" s="11"/>
      <c r="S30" s="11"/>
      <c r="T30" s="11"/>
      <c r="U30" s="9" t="s">
        <v>124</v>
      </c>
      <c r="V30" s="9" t="s">
        <v>61</v>
      </c>
      <c r="W30" s="9" t="s">
        <v>75</v>
      </c>
      <c r="X30" s="9"/>
    </row>
    <row r="31" customFormat="false" ht="85.05" hidden="false" customHeight="false" outlineLevel="0" collapsed="false">
      <c r="A31" s="9" t="s">
        <v>689</v>
      </c>
      <c r="B31" s="10" t="s">
        <v>34</v>
      </c>
      <c r="C31" s="9" t="s">
        <v>303</v>
      </c>
      <c r="D31" s="9" t="s">
        <v>304</v>
      </c>
      <c r="E31" s="9" t="n">
        <v>4</v>
      </c>
      <c r="F31" s="9"/>
      <c r="G31" s="9" t="s">
        <v>641</v>
      </c>
      <c r="H31" s="9" t="s">
        <v>690</v>
      </c>
      <c r="I31" s="9" t="s">
        <v>152</v>
      </c>
      <c r="J31" s="9" t="s">
        <v>691</v>
      </c>
      <c r="K31" s="9" t="s">
        <v>692</v>
      </c>
      <c r="L31" s="9" t="s">
        <v>154</v>
      </c>
      <c r="M31" s="11"/>
      <c r="N31" s="11" t="s">
        <v>124</v>
      </c>
      <c r="O31" s="11" t="s">
        <v>61</v>
      </c>
      <c r="P31" s="11" t="s">
        <v>75</v>
      </c>
      <c r="Q31" s="11"/>
      <c r="R31" s="11"/>
      <c r="S31" s="11"/>
      <c r="T31" s="11"/>
      <c r="U31" s="9" t="s">
        <v>124</v>
      </c>
      <c r="V31" s="9" t="s">
        <v>61</v>
      </c>
      <c r="W31" s="9" t="s">
        <v>75</v>
      </c>
      <c r="X31" s="9"/>
    </row>
    <row r="32" customFormat="false" ht="32.8" hidden="false" customHeight="false" outlineLevel="0" collapsed="false">
      <c r="A32" s="9" t="s">
        <v>693</v>
      </c>
      <c r="B32" s="10" t="s">
        <v>34</v>
      </c>
      <c r="C32" s="9" t="s">
        <v>303</v>
      </c>
      <c r="D32" s="9" t="s">
        <v>304</v>
      </c>
      <c r="E32" s="9" t="n">
        <v>7</v>
      </c>
      <c r="F32" s="9"/>
      <c r="G32" s="9" t="s">
        <v>597</v>
      </c>
      <c r="H32" s="9" t="s">
        <v>694</v>
      </c>
      <c r="I32" s="9" t="s">
        <v>152</v>
      </c>
      <c r="J32" s="9"/>
      <c r="K32" s="9" t="s">
        <v>692</v>
      </c>
      <c r="L32" s="9" t="s">
        <v>154</v>
      </c>
      <c r="M32" s="11"/>
      <c r="N32" s="11" t="s">
        <v>110</v>
      </c>
      <c r="O32" s="11" t="s">
        <v>61</v>
      </c>
      <c r="P32" s="11" t="s">
        <v>62</v>
      </c>
      <c r="Q32" s="11" t="s">
        <v>607</v>
      </c>
      <c r="R32" s="11"/>
      <c r="S32" s="11"/>
      <c r="T32" s="11"/>
      <c r="U32" s="9" t="s">
        <v>110</v>
      </c>
      <c r="V32" s="9" t="s">
        <v>61</v>
      </c>
      <c r="W32" s="9" t="s">
        <v>62</v>
      </c>
      <c r="X32" s="9" t="s">
        <v>607</v>
      </c>
    </row>
    <row r="33" customFormat="false" ht="53.7" hidden="false" customHeight="false" outlineLevel="0" collapsed="false">
      <c r="A33" s="9" t="s">
        <v>695</v>
      </c>
      <c r="B33" s="13" t="s">
        <v>37</v>
      </c>
      <c r="C33" s="9" t="s">
        <v>311</v>
      </c>
      <c r="D33" s="9" t="s">
        <v>312</v>
      </c>
      <c r="E33" s="9" t="n">
        <v>4</v>
      </c>
      <c r="F33" s="9"/>
      <c r="G33" s="9" t="s">
        <v>696</v>
      </c>
      <c r="H33" s="9" t="s">
        <v>697</v>
      </c>
      <c r="I33" s="9" t="s">
        <v>152</v>
      </c>
      <c r="J33" s="9"/>
      <c r="K33" s="9" t="s">
        <v>698</v>
      </c>
      <c r="L33" s="9" t="s">
        <v>154</v>
      </c>
      <c r="M33" s="11"/>
      <c r="N33" s="11" t="s">
        <v>98</v>
      </c>
      <c r="O33" s="11" t="s">
        <v>74</v>
      </c>
      <c r="P33" s="11" t="s">
        <v>75</v>
      </c>
      <c r="Q33" s="11" t="s">
        <v>600</v>
      </c>
      <c r="R33" s="11"/>
      <c r="S33" s="11"/>
      <c r="T33" s="11"/>
      <c r="U33" s="9" t="s">
        <v>98</v>
      </c>
      <c r="V33" s="9" t="s">
        <v>74</v>
      </c>
      <c r="W33" s="9" t="s">
        <v>75</v>
      </c>
      <c r="X33" s="9" t="s">
        <v>600</v>
      </c>
    </row>
    <row r="34" customFormat="false" ht="53.7" hidden="false" customHeight="false" outlineLevel="0" collapsed="false">
      <c r="A34" s="9" t="s">
        <v>699</v>
      </c>
      <c r="B34" s="13" t="s">
        <v>37</v>
      </c>
      <c r="C34" s="9" t="s">
        <v>311</v>
      </c>
      <c r="D34" s="9" t="s">
        <v>312</v>
      </c>
      <c r="E34" s="9" t="n">
        <v>4</v>
      </c>
      <c r="F34" s="9"/>
      <c r="G34" s="9" t="s">
        <v>700</v>
      </c>
      <c r="H34" s="9" t="s">
        <v>701</v>
      </c>
      <c r="I34" s="9" t="s">
        <v>152</v>
      </c>
      <c r="J34" s="9"/>
      <c r="K34" s="9" t="s">
        <v>698</v>
      </c>
      <c r="L34" s="9" t="s">
        <v>154</v>
      </c>
      <c r="M34" s="11"/>
      <c r="N34" s="11" t="s">
        <v>105</v>
      </c>
      <c r="O34" s="11" t="s">
        <v>74</v>
      </c>
      <c r="P34" s="11" t="s">
        <v>75</v>
      </c>
      <c r="Q34" s="11" t="s">
        <v>600</v>
      </c>
      <c r="R34" s="11"/>
      <c r="S34" s="11"/>
      <c r="T34" s="11"/>
      <c r="U34" s="9" t="s">
        <v>105</v>
      </c>
      <c r="V34" s="9" t="s">
        <v>74</v>
      </c>
      <c r="W34" s="9" t="s">
        <v>75</v>
      </c>
      <c r="X34" s="9" t="s">
        <v>600</v>
      </c>
    </row>
    <row r="35" customFormat="false" ht="53.7" hidden="false" customHeight="false" outlineLevel="0" collapsed="false">
      <c r="A35" s="9" t="s">
        <v>702</v>
      </c>
      <c r="B35" s="10" t="s">
        <v>34</v>
      </c>
      <c r="C35" s="9" t="s">
        <v>311</v>
      </c>
      <c r="D35" s="9" t="s">
        <v>312</v>
      </c>
      <c r="E35" s="9" t="n">
        <v>6</v>
      </c>
      <c r="F35" s="9"/>
      <c r="G35" s="9" t="s">
        <v>703</v>
      </c>
      <c r="H35" s="9" t="s">
        <v>704</v>
      </c>
      <c r="I35" s="9" t="s">
        <v>152</v>
      </c>
      <c r="J35" s="9"/>
      <c r="K35" s="9" t="s">
        <v>698</v>
      </c>
      <c r="L35" s="9" t="s">
        <v>154</v>
      </c>
      <c r="M35" s="11"/>
      <c r="N35" s="11" t="s">
        <v>110</v>
      </c>
      <c r="O35" s="11" t="s">
        <v>74</v>
      </c>
      <c r="P35" s="11" t="s">
        <v>75</v>
      </c>
      <c r="Q35" s="11" t="s">
        <v>607</v>
      </c>
      <c r="R35" s="11"/>
      <c r="S35" s="11"/>
      <c r="T35" s="11"/>
      <c r="U35" s="9" t="s">
        <v>110</v>
      </c>
      <c r="V35" s="9" t="s">
        <v>74</v>
      </c>
      <c r="W35" s="9" t="s">
        <v>75</v>
      </c>
      <c r="X35" s="9" t="s">
        <v>607</v>
      </c>
    </row>
    <row r="36" customFormat="false" ht="53.7" hidden="false" customHeight="false" outlineLevel="0" collapsed="false">
      <c r="A36" s="9" t="s">
        <v>705</v>
      </c>
      <c r="B36" s="13" t="s">
        <v>37</v>
      </c>
      <c r="C36" s="9" t="s">
        <v>320</v>
      </c>
      <c r="D36" s="9" t="s">
        <v>321</v>
      </c>
      <c r="E36" s="9" t="n">
        <v>7</v>
      </c>
      <c r="F36" s="9"/>
      <c r="G36" s="9" t="s">
        <v>706</v>
      </c>
      <c r="H36" s="9" t="s">
        <v>707</v>
      </c>
      <c r="I36" s="9" t="s">
        <v>152</v>
      </c>
      <c r="J36" s="9"/>
      <c r="K36" s="9" t="s">
        <v>708</v>
      </c>
      <c r="L36" s="9" t="s">
        <v>154</v>
      </c>
      <c r="M36" s="11"/>
      <c r="N36" s="11" t="s">
        <v>73</v>
      </c>
      <c r="O36" s="11" t="s">
        <v>61</v>
      </c>
      <c r="P36" s="11" t="s">
        <v>75</v>
      </c>
      <c r="Q36" s="11"/>
      <c r="R36" s="11"/>
      <c r="S36" s="11"/>
      <c r="T36" s="11"/>
      <c r="U36" s="9" t="s">
        <v>73</v>
      </c>
      <c r="V36" s="9" t="s">
        <v>61</v>
      </c>
      <c r="W36" s="9" t="s">
        <v>75</v>
      </c>
      <c r="X36" s="9"/>
    </row>
    <row r="37" customFormat="false" ht="43.25" hidden="false" customHeight="false" outlineLevel="0" collapsed="false">
      <c r="A37" s="9" t="s">
        <v>709</v>
      </c>
      <c r="B37" s="13" t="s">
        <v>37</v>
      </c>
      <c r="C37" s="9" t="s">
        <v>320</v>
      </c>
      <c r="D37" s="9" t="s">
        <v>321</v>
      </c>
      <c r="E37" s="9" t="n">
        <v>7</v>
      </c>
      <c r="F37" s="9"/>
      <c r="G37" s="9" t="s">
        <v>602</v>
      </c>
      <c r="H37" s="9" t="s">
        <v>710</v>
      </c>
      <c r="I37" s="9" t="s">
        <v>152</v>
      </c>
      <c r="J37" s="9" t="s">
        <v>711</v>
      </c>
      <c r="K37" s="9" t="s">
        <v>708</v>
      </c>
      <c r="L37" s="9" t="s">
        <v>154</v>
      </c>
      <c r="M37" s="11"/>
      <c r="N37" s="11" t="s">
        <v>124</v>
      </c>
      <c r="O37" s="11" t="s">
        <v>74</v>
      </c>
      <c r="P37" s="11" t="s">
        <v>75</v>
      </c>
      <c r="Q37" s="11"/>
      <c r="R37" s="11"/>
      <c r="S37" s="11"/>
      <c r="T37" s="11"/>
      <c r="U37" s="9" t="s">
        <v>124</v>
      </c>
      <c r="V37" s="9" t="s">
        <v>74</v>
      </c>
      <c r="W37" s="9" t="s">
        <v>75</v>
      </c>
      <c r="X37" s="9"/>
    </row>
    <row r="38" customFormat="false" ht="32.8" hidden="false" customHeight="false" outlineLevel="0" collapsed="false">
      <c r="A38" s="9" t="s">
        <v>712</v>
      </c>
      <c r="B38" s="10" t="s">
        <v>34</v>
      </c>
      <c r="C38" s="9" t="s">
        <v>328</v>
      </c>
      <c r="D38" s="9" t="s">
        <v>329</v>
      </c>
      <c r="E38" s="9" t="n">
        <v>10</v>
      </c>
      <c r="F38" s="9"/>
      <c r="G38" s="9" t="s">
        <v>597</v>
      </c>
      <c r="H38" s="9" t="s">
        <v>713</v>
      </c>
      <c r="I38" s="9" t="s">
        <v>152</v>
      </c>
      <c r="J38" s="9"/>
      <c r="K38" s="9" t="s">
        <v>714</v>
      </c>
      <c r="L38" s="9" t="s">
        <v>154</v>
      </c>
      <c r="M38" s="11"/>
      <c r="N38" s="11" t="s">
        <v>110</v>
      </c>
      <c r="O38" s="11" t="s">
        <v>74</v>
      </c>
      <c r="P38" s="11" t="s">
        <v>75</v>
      </c>
      <c r="Q38" s="11"/>
      <c r="R38" s="11"/>
      <c r="S38" s="11"/>
      <c r="T38" s="11"/>
      <c r="U38" s="9" t="s">
        <v>110</v>
      </c>
      <c r="V38" s="9" t="s">
        <v>74</v>
      </c>
      <c r="W38" s="9" t="s">
        <v>75</v>
      </c>
      <c r="X38" s="9"/>
    </row>
    <row r="39" customFormat="false" ht="137.3" hidden="false" customHeight="false" outlineLevel="0" collapsed="false">
      <c r="A39" s="9" t="s">
        <v>715</v>
      </c>
      <c r="B39" s="13" t="s">
        <v>37</v>
      </c>
      <c r="C39" s="9" t="s">
        <v>335</v>
      </c>
      <c r="D39" s="9" t="s">
        <v>336</v>
      </c>
      <c r="E39" s="9" t="n">
        <v>2</v>
      </c>
      <c r="F39" s="9"/>
      <c r="G39" s="9" t="s">
        <v>621</v>
      </c>
      <c r="H39" s="9" t="s">
        <v>716</v>
      </c>
      <c r="I39" s="9" t="s">
        <v>152</v>
      </c>
      <c r="J39" s="9" t="s">
        <v>717</v>
      </c>
      <c r="K39" s="9" t="s">
        <v>718</v>
      </c>
      <c r="L39" s="9" t="s">
        <v>154</v>
      </c>
      <c r="M39" s="11"/>
      <c r="N39" s="11" t="s">
        <v>124</v>
      </c>
      <c r="O39" s="11" t="s">
        <v>61</v>
      </c>
      <c r="P39" s="11" t="s">
        <v>89</v>
      </c>
      <c r="Q39" s="11"/>
      <c r="R39" s="11"/>
      <c r="S39" s="11"/>
      <c r="T39" s="11"/>
      <c r="U39" s="9" t="s">
        <v>124</v>
      </c>
      <c r="V39" s="9" t="s">
        <v>61</v>
      </c>
      <c r="W39" s="9" t="s">
        <v>89</v>
      </c>
      <c r="X39" s="9"/>
    </row>
    <row r="40" customFormat="false" ht="137.3" hidden="false" customHeight="false" outlineLevel="0" collapsed="false">
      <c r="A40" s="9" t="s">
        <v>719</v>
      </c>
      <c r="B40" s="13" t="s">
        <v>37</v>
      </c>
      <c r="C40" s="9" t="s">
        <v>335</v>
      </c>
      <c r="D40" s="9" t="s">
        <v>336</v>
      </c>
      <c r="E40" s="9" t="n">
        <v>10</v>
      </c>
      <c r="F40" s="9"/>
      <c r="G40" s="9" t="s">
        <v>720</v>
      </c>
      <c r="H40" s="9" t="s">
        <v>721</v>
      </c>
      <c r="I40" s="9" t="s">
        <v>152</v>
      </c>
      <c r="J40" s="9" t="s">
        <v>722</v>
      </c>
      <c r="K40" s="9" t="s">
        <v>718</v>
      </c>
      <c r="L40" s="9" t="s">
        <v>154</v>
      </c>
      <c r="M40" s="11"/>
      <c r="N40" s="11" t="s">
        <v>124</v>
      </c>
      <c r="O40" s="11" t="s">
        <v>74</v>
      </c>
      <c r="P40" s="11" t="s">
        <v>75</v>
      </c>
      <c r="Q40" s="11" t="s">
        <v>607</v>
      </c>
      <c r="R40" s="11"/>
      <c r="S40" s="11"/>
      <c r="T40" s="11"/>
      <c r="U40" s="9" t="s">
        <v>124</v>
      </c>
      <c r="V40" s="9" t="s">
        <v>74</v>
      </c>
      <c r="W40" s="9" t="s">
        <v>75</v>
      </c>
      <c r="X40" s="9" t="s">
        <v>607</v>
      </c>
    </row>
    <row r="41" customFormat="false" ht="137.3" hidden="false" customHeight="false" outlineLevel="0" collapsed="false">
      <c r="A41" s="9" t="s">
        <v>723</v>
      </c>
      <c r="B41" s="13" t="s">
        <v>37</v>
      </c>
      <c r="C41" s="9" t="s">
        <v>335</v>
      </c>
      <c r="D41" s="9" t="s">
        <v>336</v>
      </c>
      <c r="E41" s="9" t="n">
        <v>10</v>
      </c>
      <c r="F41" s="9"/>
      <c r="G41" s="9" t="s">
        <v>724</v>
      </c>
      <c r="H41" s="9" t="s">
        <v>725</v>
      </c>
      <c r="I41" s="9" t="s">
        <v>152</v>
      </c>
      <c r="J41" s="9" t="s">
        <v>726</v>
      </c>
      <c r="K41" s="9" t="s">
        <v>718</v>
      </c>
      <c r="L41" s="9" t="s">
        <v>154</v>
      </c>
      <c r="M41" s="11"/>
      <c r="N41" s="11" t="s">
        <v>124</v>
      </c>
      <c r="O41" s="11" t="s">
        <v>61</v>
      </c>
      <c r="P41" s="11" t="s">
        <v>89</v>
      </c>
      <c r="Q41" s="11" t="s">
        <v>629</v>
      </c>
      <c r="R41" s="11"/>
      <c r="S41" s="11"/>
      <c r="T41" s="11"/>
      <c r="U41" s="9" t="s">
        <v>124</v>
      </c>
      <c r="V41" s="9" t="s">
        <v>61</v>
      </c>
      <c r="W41" s="9" t="s">
        <v>89</v>
      </c>
      <c r="X41" s="9" t="s">
        <v>629</v>
      </c>
    </row>
    <row r="42" customFormat="false" ht="137.3" hidden="false" customHeight="false" outlineLevel="0" collapsed="false">
      <c r="A42" s="9" t="s">
        <v>727</v>
      </c>
      <c r="B42" s="13" t="s">
        <v>37</v>
      </c>
      <c r="C42" s="9" t="s">
        <v>335</v>
      </c>
      <c r="D42" s="9" t="s">
        <v>336</v>
      </c>
      <c r="E42" s="9" t="n">
        <v>11</v>
      </c>
      <c r="F42" s="9"/>
      <c r="G42" s="9" t="s">
        <v>728</v>
      </c>
      <c r="H42" s="9" t="s">
        <v>729</v>
      </c>
      <c r="I42" s="9" t="s">
        <v>152</v>
      </c>
      <c r="J42" s="9" t="s">
        <v>730</v>
      </c>
      <c r="K42" s="9" t="s">
        <v>718</v>
      </c>
      <c r="L42" s="9" t="s">
        <v>154</v>
      </c>
      <c r="M42" s="11"/>
      <c r="N42" s="11" t="s">
        <v>124</v>
      </c>
      <c r="O42" s="11" t="s">
        <v>74</v>
      </c>
      <c r="P42" s="11" t="s">
        <v>89</v>
      </c>
      <c r="Q42" s="11" t="s">
        <v>655</v>
      </c>
      <c r="R42" s="11"/>
      <c r="S42" s="11"/>
      <c r="T42" s="11"/>
      <c r="U42" s="9" t="s">
        <v>124</v>
      </c>
      <c r="V42" s="9" t="s">
        <v>74</v>
      </c>
      <c r="W42" s="9" t="s">
        <v>89</v>
      </c>
      <c r="X42" s="9" t="s">
        <v>655</v>
      </c>
    </row>
    <row r="43" customFormat="false" ht="137.3" hidden="false" customHeight="false" outlineLevel="0" collapsed="false">
      <c r="A43" s="9" t="s">
        <v>731</v>
      </c>
      <c r="B43" s="13" t="s">
        <v>37</v>
      </c>
      <c r="C43" s="9" t="s">
        <v>335</v>
      </c>
      <c r="D43" s="9" t="s">
        <v>336</v>
      </c>
      <c r="E43" s="9" t="n">
        <v>12</v>
      </c>
      <c r="F43" s="9"/>
      <c r="G43" s="9" t="s">
        <v>732</v>
      </c>
      <c r="H43" s="9" t="s">
        <v>733</v>
      </c>
      <c r="I43" s="9" t="s">
        <v>152</v>
      </c>
      <c r="J43" s="9"/>
      <c r="K43" s="9" t="s">
        <v>718</v>
      </c>
      <c r="L43" s="9" t="s">
        <v>154</v>
      </c>
      <c r="M43" s="11"/>
      <c r="N43" s="11" t="s">
        <v>98</v>
      </c>
      <c r="O43" s="11" t="s">
        <v>61</v>
      </c>
      <c r="P43" s="11" t="s">
        <v>89</v>
      </c>
      <c r="Q43" s="11"/>
      <c r="R43" s="11"/>
      <c r="S43" s="11"/>
      <c r="T43" s="11"/>
      <c r="U43" s="9" t="s">
        <v>98</v>
      </c>
      <c r="V43" s="9" t="s">
        <v>61</v>
      </c>
      <c r="W43" s="9" t="s">
        <v>89</v>
      </c>
      <c r="X43" s="9"/>
    </row>
    <row r="44" customFormat="false" ht="137.3" hidden="false" customHeight="false" outlineLevel="0" collapsed="false">
      <c r="A44" s="9" t="s">
        <v>734</v>
      </c>
      <c r="B44" s="13" t="s">
        <v>37</v>
      </c>
      <c r="C44" s="9" t="s">
        <v>335</v>
      </c>
      <c r="D44" s="9" t="s">
        <v>336</v>
      </c>
      <c r="E44" s="9" t="n">
        <v>12</v>
      </c>
      <c r="F44" s="9"/>
      <c r="G44" s="9" t="s">
        <v>735</v>
      </c>
      <c r="H44" s="9" t="s">
        <v>736</v>
      </c>
      <c r="I44" s="9" t="s">
        <v>152</v>
      </c>
      <c r="J44" s="9"/>
      <c r="K44" s="9" t="s">
        <v>718</v>
      </c>
      <c r="L44" s="9" t="s">
        <v>154</v>
      </c>
      <c r="M44" s="11"/>
      <c r="N44" s="11" t="s">
        <v>122</v>
      </c>
      <c r="O44" s="11" t="s">
        <v>61</v>
      </c>
      <c r="P44" s="11" t="s">
        <v>75</v>
      </c>
      <c r="Q44" s="11" t="s">
        <v>737</v>
      </c>
      <c r="R44" s="11"/>
      <c r="S44" s="11"/>
      <c r="T44" s="11"/>
      <c r="U44" s="9" t="s">
        <v>122</v>
      </c>
      <c r="V44" s="9" t="s">
        <v>61</v>
      </c>
      <c r="W44" s="9" t="s">
        <v>75</v>
      </c>
      <c r="X44" s="9" t="s">
        <v>737</v>
      </c>
    </row>
    <row r="45" customFormat="false" ht="43.25" hidden="false" customHeight="false" outlineLevel="0" collapsed="false">
      <c r="A45" s="9" t="s">
        <v>738</v>
      </c>
      <c r="B45" s="10" t="s">
        <v>34</v>
      </c>
      <c r="C45" s="9" t="s">
        <v>364</v>
      </c>
      <c r="D45" s="9" t="s">
        <v>365</v>
      </c>
      <c r="E45" s="9" t="n">
        <v>4</v>
      </c>
      <c r="F45" s="9"/>
      <c r="G45" s="9" t="s">
        <v>652</v>
      </c>
      <c r="H45" s="9" t="s">
        <v>739</v>
      </c>
      <c r="I45" s="9" t="s">
        <v>152</v>
      </c>
      <c r="J45" s="9"/>
      <c r="K45" s="9" t="s">
        <v>740</v>
      </c>
      <c r="L45" s="9" t="s">
        <v>154</v>
      </c>
      <c r="M45" s="11"/>
      <c r="N45" s="11" t="s">
        <v>125</v>
      </c>
      <c r="O45" s="11" t="s">
        <v>74</v>
      </c>
      <c r="P45" s="11" t="s">
        <v>75</v>
      </c>
      <c r="Q45" s="11" t="s">
        <v>607</v>
      </c>
      <c r="R45" s="11"/>
      <c r="S45" s="11"/>
      <c r="T45" s="11"/>
      <c r="U45" s="9" t="s">
        <v>125</v>
      </c>
      <c r="V45" s="9" t="s">
        <v>74</v>
      </c>
      <c r="W45" s="9" t="s">
        <v>75</v>
      </c>
      <c r="X45" s="9" t="s">
        <v>607</v>
      </c>
    </row>
    <row r="46" customFormat="false" ht="22.35" hidden="false" customHeight="false" outlineLevel="0" collapsed="false">
      <c r="A46" s="9" t="s">
        <v>741</v>
      </c>
      <c r="B46" s="13" t="s">
        <v>37</v>
      </c>
      <c r="C46" s="9" t="s">
        <v>368</v>
      </c>
      <c r="D46" s="9" t="s">
        <v>369</v>
      </c>
      <c r="E46" s="9" t="n">
        <v>3</v>
      </c>
      <c r="F46" s="9"/>
      <c r="G46" s="9" t="s">
        <v>602</v>
      </c>
      <c r="H46" s="9" t="s">
        <v>370</v>
      </c>
      <c r="I46" s="9" t="s">
        <v>152</v>
      </c>
      <c r="J46" s="9"/>
      <c r="K46" s="9" t="s">
        <v>742</v>
      </c>
      <c r="L46" s="9" t="s">
        <v>154</v>
      </c>
      <c r="M46" s="11"/>
      <c r="N46" s="11" t="s">
        <v>114</v>
      </c>
      <c r="O46" s="11" t="s">
        <v>74</v>
      </c>
      <c r="P46" s="11" t="s">
        <v>89</v>
      </c>
      <c r="Q46" s="11" t="s">
        <v>607</v>
      </c>
      <c r="R46" s="11"/>
      <c r="S46" s="11"/>
      <c r="T46" s="11"/>
      <c r="U46" s="9" t="s">
        <v>114</v>
      </c>
      <c r="V46" s="9" t="s">
        <v>74</v>
      </c>
      <c r="W46" s="9" t="s">
        <v>89</v>
      </c>
      <c r="X46" s="9" t="s">
        <v>607</v>
      </c>
    </row>
    <row r="47" customFormat="false" ht="32.8" hidden="false" customHeight="false" outlineLevel="0" collapsed="false">
      <c r="A47" s="9" t="s">
        <v>743</v>
      </c>
      <c r="B47" s="10" t="s">
        <v>34</v>
      </c>
      <c r="C47" s="9" t="s">
        <v>368</v>
      </c>
      <c r="D47" s="9" t="s">
        <v>369</v>
      </c>
      <c r="E47" s="9" t="n">
        <v>5</v>
      </c>
      <c r="F47" s="9"/>
      <c r="G47" s="9" t="s">
        <v>644</v>
      </c>
      <c r="H47" s="9" t="s">
        <v>744</v>
      </c>
      <c r="I47" s="9" t="s">
        <v>152</v>
      </c>
      <c r="J47" s="9"/>
      <c r="K47" s="9" t="s">
        <v>742</v>
      </c>
      <c r="L47" s="9" t="s">
        <v>154</v>
      </c>
      <c r="M47" s="11"/>
      <c r="N47" s="11" t="s">
        <v>122</v>
      </c>
      <c r="O47" s="11" t="s">
        <v>74</v>
      </c>
      <c r="P47" s="11" t="s">
        <v>62</v>
      </c>
      <c r="Q47" s="11"/>
      <c r="R47" s="11"/>
      <c r="S47" s="11"/>
      <c r="T47" s="11"/>
      <c r="U47" s="9" t="s">
        <v>122</v>
      </c>
      <c r="V47" s="9" t="s">
        <v>74</v>
      </c>
      <c r="W47" s="9" t="s">
        <v>62</v>
      </c>
      <c r="X47" s="9"/>
    </row>
    <row r="48" customFormat="false" ht="53.7" hidden="false" customHeight="false" outlineLevel="0" collapsed="false">
      <c r="A48" s="9" t="s">
        <v>745</v>
      </c>
      <c r="B48" s="13" t="s">
        <v>37</v>
      </c>
      <c r="C48" s="9" t="s">
        <v>373</v>
      </c>
      <c r="D48" s="9" t="s">
        <v>374</v>
      </c>
      <c r="E48" s="9" t="n">
        <v>13</v>
      </c>
      <c r="F48" s="9"/>
      <c r="G48" s="9" t="s">
        <v>706</v>
      </c>
      <c r="H48" s="9" t="s">
        <v>746</v>
      </c>
      <c r="I48" s="9" t="s">
        <v>152</v>
      </c>
      <c r="J48" s="9"/>
      <c r="K48" s="9" t="s">
        <v>747</v>
      </c>
      <c r="L48" s="9" t="s">
        <v>154</v>
      </c>
      <c r="M48" s="11"/>
      <c r="N48" s="11" t="s">
        <v>73</v>
      </c>
      <c r="O48" s="11" t="s">
        <v>61</v>
      </c>
      <c r="P48" s="11" t="s">
        <v>89</v>
      </c>
      <c r="Q48" s="11"/>
      <c r="R48" s="11"/>
      <c r="S48" s="11"/>
      <c r="T48" s="11"/>
      <c r="U48" s="9" t="s">
        <v>73</v>
      </c>
      <c r="V48" s="9" t="s">
        <v>61</v>
      </c>
      <c r="W48" s="9" t="s">
        <v>89</v>
      </c>
      <c r="X48" s="9"/>
    </row>
    <row r="49" customFormat="false" ht="53.7" hidden="false" customHeight="false" outlineLevel="0" collapsed="false">
      <c r="A49" s="9" t="s">
        <v>748</v>
      </c>
      <c r="B49" s="13" t="s">
        <v>37</v>
      </c>
      <c r="C49" s="9" t="s">
        <v>373</v>
      </c>
      <c r="D49" s="9" t="s">
        <v>374</v>
      </c>
      <c r="E49" s="9" t="n">
        <v>13</v>
      </c>
      <c r="F49" s="9"/>
      <c r="G49" s="9" t="s">
        <v>700</v>
      </c>
      <c r="H49" s="9" t="s">
        <v>749</v>
      </c>
      <c r="I49" s="9" t="s">
        <v>185</v>
      </c>
      <c r="J49" s="9"/>
      <c r="K49" s="9" t="s">
        <v>747</v>
      </c>
      <c r="L49" s="9" t="s">
        <v>154</v>
      </c>
      <c r="M49" s="11"/>
      <c r="N49" s="11" t="s">
        <v>122</v>
      </c>
      <c r="O49" s="11" t="s">
        <v>61</v>
      </c>
      <c r="P49" s="11" t="s">
        <v>89</v>
      </c>
      <c r="Q49" s="11" t="s">
        <v>629</v>
      </c>
      <c r="R49" s="11"/>
      <c r="S49" s="11"/>
      <c r="T49" s="11"/>
      <c r="U49" s="9" t="s">
        <v>122</v>
      </c>
      <c r="V49" s="9" t="s">
        <v>61</v>
      </c>
      <c r="W49" s="9" t="s">
        <v>89</v>
      </c>
      <c r="X49" s="9" t="s">
        <v>629</v>
      </c>
    </row>
    <row r="50" customFormat="false" ht="53.7" hidden="false" customHeight="false" outlineLevel="0" collapsed="false">
      <c r="A50" s="9" t="s">
        <v>750</v>
      </c>
      <c r="B50" s="13" t="s">
        <v>37</v>
      </c>
      <c r="C50" s="9" t="s">
        <v>373</v>
      </c>
      <c r="D50" s="9" t="s">
        <v>374</v>
      </c>
      <c r="E50" s="9" t="n">
        <v>15</v>
      </c>
      <c r="F50" s="9"/>
      <c r="G50" s="9" t="s">
        <v>703</v>
      </c>
      <c r="H50" s="9" t="s">
        <v>751</v>
      </c>
      <c r="I50" s="9" t="s">
        <v>152</v>
      </c>
      <c r="J50" s="9"/>
      <c r="K50" s="9" t="s">
        <v>747</v>
      </c>
      <c r="L50" s="9" t="s">
        <v>154</v>
      </c>
      <c r="M50" s="11"/>
      <c r="N50" s="11" t="s">
        <v>98</v>
      </c>
      <c r="O50" s="11" t="s">
        <v>61</v>
      </c>
      <c r="P50" s="11" t="s">
        <v>89</v>
      </c>
      <c r="Q50" s="11"/>
      <c r="R50" s="11"/>
      <c r="S50" s="11"/>
      <c r="T50" s="11"/>
      <c r="U50" s="9" t="s">
        <v>98</v>
      </c>
      <c r="V50" s="9" t="s">
        <v>61</v>
      </c>
      <c r="W50" s="9" t="s">
        <v>89</v>
      </c>
      <c r="X50" s="9"/>
    </row>
    <row r="51" customFormat="false" ht="32.8" hidden="false" customHeight="false" outlineLevel="0" collapsed="false">
      <c r="A51" s="9" t="s">
        <v>752</v>
      </c>
      <c r="B51" s="10" t="s">
        <v>34</v>
      </c>
      <c r="C51" s="9" t="s">
        <v>390</v>
      </c>
      <c r="D51" s="9" t="s">
        <v>179</v>
      </c>
      <c r="E51" s="9" t="n">
        <v>5</v>
      </c>
      <c r="F51" s="9"/>
      <c r="G51" s="9" t="s">
        <v>696</v>
      </c>
      <c r="H51" s="9" t="s">
        <v>753</v>
      </c>
      <c r="I51" s="9" t="s">
        <v>152</v>
      </c>
      <c r="J51" s="9"/>
      <c r="K51" s="9" t="s">
        <v>754</v>
      </c>
      <c r="L51" s="9" t="s">
        <v>154</v>
      </c>
      <c r="M51" s="11"/>
      <c r="N51" s="11" t="s">
        <v>98</v>
      </c>
      <c r="O51" s="11" t="s">
        <v>88</v>
      </c>
      <c r="P51" s="11" t="s">
        <v>75</v>
      </c>
      <c r="Q51" s="11" t="s">
        <v>672</v>
      </c>
      <c r="R51" s="11"/>
      <c r="S51" s="11"/>
      <c r="T51" s="11"/>
      <c r="U51" s="9" t="s">
        <v>98</v>
      </c>
      <c r="V51" s="9" t="s">
        <v>88</v>
      </c>
      <c r="W51" s="9" t="s">
        <v>75</v>
      </c>
      <c r="X51" s="9" t="s">
        <v>672</v>
      </c>
    </row>
    <row r="52" customFormat="false" ht="32.8" hidden="false" customHeight="false" outlineLevel="0" collapsed="false">
      <c r="A52" s="9" t="s">
        <v>755</v>
      </c>
      <c r="B52" s="10" t="s">
        <v>34</v>
      </c>
      <c r="C52" s="9" t="s">
        <v>390</v>
      </c>
      <c r="D52" s="9" t="s">
        <v>179</v>
      </c>
      <c r="E52" s="9" t="n">
        <v>6</v>
      </c>
      <c r="F52" s="9"/>
      <c r="G52" s="9" t="s">
        <v>641</v>
      </c>
      <c r="H52" s="9" t="s">
        <v>756</v>
      </c>
      <c r="I52" s="9" t="s">
        <v>185</v>
      </c>
      <c r="J52" s="9"/>
      <c r="K52" s="9" t="s">
        <v>754</v>
      </c>
      <c r="L52" s="9" t="s">
        <v>154</v>
      </c>
      <c r="M52" s="11"/>
      <c r="N52" s="11" t="s">
        <v>125</v>
      </c>
      <c r="O52" s="11" t="s">
        <v>61</v>
      </c>
      <c r="P52" s="11" t="s">
        <v>89</v>
      </c>
      <c r="Q52" s="11" t="s">
        <v>672</v>
      </c>
      <c r="R52" s="11"/>
      <c r="S52" s="11"/>
      <c r="T52" s="11"/>
      <c r="U52" s="9" t="s">
        <v>125</v>
      </c>
      <c r="V52" s="9" t="s">
        <v>61</v>
      </c>
      <c r="W52" s="9" t="s">
        <v>89</v>
      </c>
      <c r="X52" s="9" t="s">
        <v>672</v>
      </c>
    </row>
    <row r="53" customFormat="false" ht="53.7" hidden="false" customHeight="false" outlineLevel="0" collapsed="false">
      <c r="A53" s="9" t="s">
        <v>757</v>
      </c>
      <c r="B53" s="13" t="s">
        <v>37</v>
      </c>
      <c r="C53" s="9" t="s">
        <v>396</v>
      </c>
      <c r="D53" s="9" t="s">
        <v>397</v>
      </c>
      <c r="E53" s="9" t="n">
        <v>6</v>
      </c>
      <c r="F53" s="9"/>
      <c r="G53" s="9" t="s">
        <v>652</v>
      </c>
      <c r="H53" s="9" t="s">
        <v>758</v>
      </c>
      <c r="I53" s="9" t="s">
        <v>152</v>
      </c>
      <c r="J53" s="9"/>
      <c r="K53" s="9" t="s">
        <v>759</v>
      </c>
      <c r="L53" s="9" t="s">
        <v>154</v>
      </c>
      <c r="M53" s="11"/>
      <c r="N53" s="11" t="s">
        <v>122</v>
      </c>
      <c r="O53" s="11" t="s">
        <v>74</v>
      </c>
      <c r="P53" s="11" t="s">
        <v>89</v>
      </c>
      <c r="Q53" s="11" t="s">
        <v>607</v>
      </c>
      <c r="R53" s="11"/>
      <c r="S53" s="11"/>
      <c r="T53" s="11"/>
      <c r="U53" s="9" t="s">
        <v>122</v>
      </c>
      <c r="V53" s="9" t="s">
        <v>74</v>
      </c>
      <c r="W53" s="9" t="s">
        <v>89</v>
      </c>
      <c r="X53" s="9" t="s">
        <v>607</v>
      </c>
    </row>
    <row r="54" customFormat="false" ht="53.7" hidden="false" customHeight="false" outlineLevel="0" collapsed="false">
      <c r="A54" s="9" t="s">
        <v>760</v>
      </c>
      <c r="B54" s="13" t="s">
        <v>37</v>
      </c>
      <c r="C54" s="9" t="s">
        <v>396</v>
      </c>
      <c r="D54" s="9" t="s">
        <v>397</v>
      </c>
      <c r="E54" s="9" t="n">
        <v>7</v>
      </c>
      <c r="F54" s="9"/>
      <c r="G54" s="9" t="s">
        <v>602</v>
      </c>
      <c r="H54" s="9" t="s">
        <v>761</v>
      </c>
      <c r="I54" s="9" t="s">
        <v>152</v>
      </c>
      <c r="J54" s="9"/>
      <c r="K54" s="9" t="s">
        <v>759</v>
      </c>
      <c r="L54" s="9" t="s">
        <v>154</v>
      </c>
      <c r="M54" s="11"/>
      <c r="N54" s="11" t="s">
        <v>73</v>
      </c>
      <c r="O54" s="11" t="s">
        <v>74</v>
      </c>
      <c r="P54" s="11" t="s">
        <v>89</v>
      </c>
      <c r="Q54" s="11"/>
      <c r="R54" s="11"/>
      <c r="S54" s="11"/>
      <c r="T54" s="11"/>
      <c r="U54" s="9" t="s">
        <v>73</v>
      </c>
      <c r="V54" s="9" t="s">
        <v>74</v>
      </c>
      <c r="W54" s="9" t="s">
        <v>89</v>
      </c>
      <c r="X54" s="9"/>
    </row>
    <row r="55" customFormat="false" ht="53.7" hidden="false" customHeight="false" outlineLevel="0" collapsed="false">
      <c r="A55" s="9" t="s">
        <v>762</v>
      </c>
      <c r="B55" s="13" t="s">
        <v>37</v>
      </c>
      <c r="C55" s="9" t="s">
        <v>406</v>
      </c>
      <c r="D55" s="9" t="s">
        <v>407</v>
      </c>
      <c r="E55" s="9" t="n">
        <v>6</v>
      </c>
      <c r="F55" s="9"/>
      <c r="G55" s="9" t="s">
        <v>652</v>
      </c>
      <c r="H55" s="9" t="s">
        <v>763</v>
      </c>
      <c r="I55" s="9" t="s">
        <v>152</v>
      </c>
      <c r="J55" s="9" t="s">
        <v>764</v>
      </c>
      <c r="K55" s="9" t="s">
        <v>765</v>
      </c>
      <c r="L55" s="9" t="s">
        <v>154</v>
      </c>
      <c r="M55" s="11"/>
      <c r="N55" s="11" t="s">
        <v>124</v>
      </c>
      <c r="O55" s="11" t="s">
        <v>61</v>
      </c>
      <c r="P55" s="11" t="s">
        <v>75</v>
      </c>
      <c r="Q55" s="11"/>
      <c r="R55" s="11"/>
      <c r="S55" s="11"/>
      <c r="T55" s="11"/>
      <c r="U55" s="9" t="s">
        <v>124</v>
      </c>
      <c r="V55" s="9" t="s">
        <v>61</v>
      </c>
      <c r="W55" s="9" t="s">
        <v>75</v>
      </c>
      <c r="X55" s="9"/>
    </row>
    <row r="56" customFormat="false" ht="95.5" hidden="false" customHeight="false" outlineLevel="0" collapsed="false">
      <c r="A56" s="9" t="s">
        <v>766</v>
      </c>
      <c r="B56" s="13" t="s">
        <v>37</v>
      </c>
      <c r="C56" s="9" t="s">
        <v>415</v>
      </c>
      <c r="D56" s="9" t="s">
        <v>416</v>
      </c>
      <c r="E56" s="9" t="n">
        <v>8</v>
      </c>
      <c r="F56" s="9"/>
      <c r="G56" s="9" t="s">
        <v>652</v>
      </c>
      <c r="H56" s="9" t="s">
        <v>767</v>
      </c>
      <c r="I56" s="9" t="s">
        <v>152</v>
      </c>
      <c r="J56" s="9"/>
      <c r="K56" s="9" t="s">
        <v>768</v>
      </c>
      <c r="L56" s="9" t="s">
        <v>154</v>
      </c>
      <c r="M56" s="11"/>
      <c r="N56" s="11" t="s">
        <v>114</v>
      </c>
      <c r="O56" s="11" t="s">
        <v>74</v>
      </c>
      <c r="P56" s="11" t="s">
        <v>89</v>
      </c>
      <c r="Q56" s="11"/>
      <c r="R56" s="11"/>
      <c r="S56" s="11"/>
      <c r="T56" s="11"/>
      <c r="U56" s="9" t="s">
        <v>114</v>
      </c>
      <c r="V56" s="9" t="s">
        <v>74</v>
      </c>
      <c r="W56" s="9" t="s">
        <v>89</v>
      </c>
      <c r="X56" s="9"/>
    </row>
    <row r="57" customFormat="false" ht="95.5" hidden="false" customHeight="false" outlineLevel="0" collapsed="false">
      <c r="A57" s="9" t="s">
        <v>769</v>
      </c>
      <c r="B57" s="13" t="s">
        <v>37</v>
      </c>
      <c r="C57" s="9" t="s">
        <v>415</v>
      </c>
      <c r="D57" s="9" t="s">
        <v>416</v>
      </c>
      <c r="E57" s="9" t="n">
        <v>11</v>
      </c>
      <c r="F57" s="9"/>
      <c r="G57" s="9" t="s">
        <v>660</v>
      </c>
      <c r="H57" s="9" t="s">
        <v>770</v>
      </c>
      <c r="I57" s="9" t="s">
        <v>152</v>
      </c>
      <c r="J57" s="9" t="s">
        <v>771</v>
      </c>
      <c r="K57" s="9" t="s">
        <v>768</v>
      </c>
      <c r="L57" s="9" t="s">
        <v>154</v>
      </c>
      <c r="M57" s="11"/>
      <c r="N57" s="11" t="s">
        <v>124</v>
      </c>
      <c r="O57" s="11" t="s">
        <v>61</v>
      </c>
      <c r="P57" s="11" t="s">
        <v>89</v>
      </c>
      <c r="Q57" s="11"/>
      <c r="R57" s="11"/>
      <c r="S57" s="11"/>
      <c r="T57" s="11"/>
      <c r="U57" s="9" t="s">
        <v>124</v>
      </c>
      <c r="V57" s="9" t="s">
        <v>61</v>
      </c>
      <c r="W57" s="9" t="s">
        <v>89</v>
      </c>
      <c r="X57" s="9"/>
    </row>
    <row r="58" customFormat="false" ht="95.5" hidden="false" customHeight="false" outlineLevel="0" collapsed="false">
      <c r="A58" s="9" t="s">
        <v>772</v>
      </c>
      <c r="B58" s="13" t="s">
        <v>37</v>
      </c>
      <c r="C58" s="9" t="s">
        <v>415</v>
      </c>
      <c r="D58" s="9" t="s">
        <v>416</v>
      </c>
      <c r="E58" s="9" t="n">
        <v>14</v>
      </c>
      <c r="F58" s="9"/>
      <c r="G58" s="9" t="s">
        <v>602</v>
      </c>
      <c r="H58" s="9" t="s">
        <v>773</v>
      </c>
      <c r="I58" s="9" t="s">
        <v>152</v>
      </c>
      <c r="J58" s="9"/>
      <c r="K58" s="9" t="s">
        <v>768</v>
      </c>
      <c r="L58" s="9" t="s">
        <v>154</v>
      </c>
      <c r="M58" s="11"/>
      <c r="N58" s="11" t="s">
        <v>73</v>
      </c>
      <c r="O58" s="11" t="s">
        <v>74</v>
      </c>
      <c r="P58" s="11" t="s">
        <v>89</v>
      </c>
      <c r="Q58" s="11"/>
      <c r="R58" s="11"/>
      <c r="S58" s="11"/>
      <c r="T58" s="11"/>
      <c r="U58" s="9" t="s">
        <v>73</v>
      </c>
      <c r="V58" s="9" t="s">
        <v>74</v>
      </c>
      <c r="W58" s="9" t="s">
        <v>89</v>
      </c>
      <c r="X58" s="9"/>
    </row>
    <row r="59" customFormat="false" ht="95.5" hidden="false" customHeight="false" outlineLevel="0" collapsed="false">
      <c r="A59" s="9" t="s">
        <v>774</v>
      </c>
      <c r="B59" s="13" t="s">
        <v>37</v>
      </c>
      <c r="C59" s="9" t="s">
        <v>415</v>
      </c>
      <c r="D59" s="9" t="s">
        <v>416</v>
      </c>
      <c r="E59" s="9" t="n">
        <v>16</v>
      </c>
      <c r="F59" s="9"/>
      <c r="G59" s="9" t="s">
        <v>609</v>
      </c>
      <c r="H59" s="9" t="s">
        <v>775</v>
      </c>
      <c r="I59" s="9" t="s">
        <v>152</v>
      </c>
      <c r="J59" s="9"/>
      <c r="K59" s="9" t="s">
        <v>768</v>
      </c>
      <c r="L59" s="9" t="s">
        <v>154</v>
      </c>
      <c r="M59" s="11"/>
      <c r="N59" s="11" t="s">
        <v>122</v>
      </c>
      <c r="O59" s="11" t="s">
        <v>74</v>
      </c>
      <c r="P59" s="11" t="s">
        <v>89</v>
      </c>
      <c r="Q59" s="11"/>
      <c r="R59" s="11"/>
      <c r="S59" s="11"/>
      <c r="T59" s="11"/>
      <c r="U59" s="9" t="s">
        <v>122</v>
      </c>
      <c r="V59" s="9" t="s">
        <v>74</v>
      </c>
      <c r="W59" s="9" t="s">
        <v>89</v>
      </c>
      <c r="X59" s="9"/>
    </row>
    <row r="60" customFormat="false" ht="95.5" hidden="false" customHeight="false" outlineLevel="0" collapsed="false">
      <c r="A60" s="9" t="s">
        <v>776</v>
      </c>
      <c r="B60" s="10" t="s">
        <v>34</v>
      </c>
      <c r="C60" s="9" t="s">
        <v>415</v>
      </c>
      <c r="D60" s="9" t="s">
        <v>416</v>
      </c>
      <c r="E60" s="9" t="n">
        <v>22</v>
      </c>
      <c r="F60" s="9"/>
      <c r="G60" s="9" t="s">
        <v>777</v>
      </c>
      <c r="H60" s="9" t="s">
        <v>778</v>
      </c>
      <c r="I60" s="9" t="s">
        <v>152</v>
      </c>
      <c r="J60" s="9"/>
      <c r="K60" s="9" t="s">
        <v>768</v>
      </c>
      <c r="L60" s="9" t="s">
        <v>154</v>
      </c>
      <c r="M60" s="11"/>
      <c r="N60" s="11" t="s">
        <v>98</v>
      </c>
      <c r="O60" s="11" t="s">
        <v>88</v>
      </c>
      <c r="P60" s="11" t="s">
        <v>89</v>
      </c>
      <c r="Q60" s="11"/>
      <c r="R60" s="11"/>
      <c r="S60" s="11"/>
      <c r="T60" s="11"/>
      <c r="U60" s="9" t="s">
        <v>98</v>
      </c>
      <c r="V60" s="9" t="s">
        <v>88</v>
      </c>
      <c r="W60" s="9" t="s">
        <v>89</v>
      </c>
      <c r="X60" s="9"/>
    </row>
    <row r="61" customFormat="false" ht="64.15" hidden="false" customHeight="false" outlineLevel="0" collapsed="false">
      <c r="A61" s="9" t="s">
        <v>779</v>
      </c>
      <c r="B61" s="10" t="s">
        <v>34</v>
      </c>
      <c r="C61" s="9" t="s">
        <v>438</v>
      </c>
      <c r="D61" s="9" t="s">
        <v>439</v>
      </c>
      <c r="E61" s="9" t="n">
        <v>4</v>
      </c>
      <c r="F61" s="9"/>
      <c r="G61" s="9" t="s">
        <v>696</v>
      </c>
      <c r="H61" s="9" t="s">
        <v>780</v>
      </c>
      <c r="I61" s="9" t="s">
        <v>152</v>
      </c>
      <c r="J61" s="9" t="s">
        <v>781</v>
      </c>
      <c r="K61" s="9" t="s">
        <v>782</v>
      </c>
      <c r="L61" s="9" t="s">
        <v>154</v>
      </c>
      <c r="M61" s="11"/>
      <c r="N61" s="11" t="s">
        <v>124</v>
      </c>
      <c r="O61" s="11" t="s">
        <v>88</v>
      </c>
      <c r="P61" s="11" t="s">
        <v>89</v>
      </c>
      <c r="Q61" s="11" t="s">
        <v>607</v>
      </c>
      <c r="R61" s="11"/>
      <c r="S61" s="11"/>
      <c r="T61" s="11"/>
      <c r="U61" s="9" t="s">
        <v>124</v>
      </c>
      <c r="V61" s="9" t="s">
        <v>88</v>
      </c>
      <c r="W61" s="9" t="s">
        <v>89</v>
      </c>
      <c r="X61" s="9" t="s">
        <v>607</v>
      </c>
    </row>
    <row r="62" customFormat="false" ht="22.35" hidden="false" customHeight="false" outlineLevel="0" collapsed="false">
      <c r="A62" s="9" t="s">
        <v>783</v>
      </c>
      <c r="B62" s="13" t="s">
        <v>37</v>
      </c>
      <c r="C62" s="9" t="s">
        <v>450</v>
      </c>
      <c r="D62" s="9" t="s">
        <v>451</v>
      </c>
      <c r="E62" s="9" t="n">
        <v>4</v>
      </c>
      <c r="F62" s="9"/>
      <c r="G62" s="9" t="s">
        <v>652</v>
      </c>
      <c r="H62" s="9" t="s">
        <v>784</v>
      </c>
      <c r="I62" s="9" t="s">
        <v>152</v>
      </c>
      <c r="J62" s="9"/>
      <c r="K62" s="9" t="s">
        <v>785</v>
      </c>
      <c r="L62" s="9" t="s">
        <v>154</v>
      </c>
      <c r="M62" s="11"/>
      <c r="N62" s="11" t="s">
        <v>114</v>
      </c>
      <c r="O62" s="11" t="s">
        <v>74</v>
      </c>
      <c r="P62" s="11" t="s">
        <v>89</v>
      </c>
      <c r="Q62" s="11" t="s">
        <v>672</v>
      </c>
      <c r="R62" s="11"/>
      <c r="S62" s="11"/>
      <c r="T62" s="11"/>
      <c r="U62" s="9" t="s">
        <v>114</v>
      </c>
      <c r="V62" s="9" t="s">
        <v>74</v>
      </c>
      <c r="W62" s="9" t="s">
        <v>89</v>
      </c>
      <c r="X62" s="9" t="s">
        <v>672</v>
      </c>
    </row>
    <row r="63" customFormat="false" ht="53.7" hidden="false" customHeight="false" outlineLevel="0" collapsed="false">
      <c r="A63" s="9" t="s">
        <v>786</v>
      </c>
      <c r="B63" s="13" t="s">
        <v>37</v>
      </c>
      <c r="C63" s="9" t="s">
        <v>450</v>
      </c>
      <c r="D63" s="9" t="s">
        <v>451</v>
      </c>
      <c r="E63" s="9" t="n">
        <v>6</v>
      </c>
      <c r="F63" s="9"/>
      <c r="G63" s="9" t="s">
        <v>602</v>
      </c>
      <c r="H63" s="9" t="s">
        <v>454</v>
      </c>
      <c r="I63" s="9" t="s">
        <v>152</v>
      </c>
      <c r="J63" s="9" t="s">
        <v>787</v>
      </c>
      <c r="K63" s="9" t="s">
        <v>785</v>
      </c>
      <c r="L63" s="9" t="s">
        <v>154</v>
      </c>
      <c r="M63" s="11"/>
      <c r="N63" s="11" t="s">
        <v>124</v>
      </c>
      <c r="O63" s="11" t="s">
        <v>61</v>
      </c>
      <c r="P63" s="11" t="s">
        <v>89</v>
      </c>
      <c r="Q63" s="11" t="s">
        <v>607</v>
      </c>
      <c r="R63" s="11"/>
      <c r="S63" s="11"/>
      <c r="T63" s="11"/>
      <c r="U63" s="9" t="s">
        <v>124</v>
      </c>
      <c r="V63" s="9" t="s">
        <v>61</v>
      </c>
      <c r="W63" s="9" t="s">
        <v>89</v>
      </c>
      <c r="X63" s="9" t="s">
        <v>607</v>
      </c>
    </row>
    <row r="64" customFormat="false" ht="32.8" hidden="false" customHeight="false" outlineLevel="0" collapsed="false">
      <c r="A64" s="9" t="s">
        <v>788</v>
      </c>
      <c r="B64" s="13" t="s">
        <v>37</v>
      </c>
      <c r="C64" s="9" t="s">
        <v>456</v>
      </c>
      <c r="D64" s="9" t="s">
        <v>457</v>
      </c>
      <c r="E64" s="9" t="n">
        <v>9</v>
      </c>
      <c r="F64" s="9"/>
      <c r="G64" s="9" t="s">
        <v>616</v>
      </c>
      <c r="H64" s="9" t="s">
        <v>789</v>
      </c>
      <c r="I64" s="9" t="s">
        <v>152</v>
      </c>
      <c r="J64" s="9" t="s">
        <v>790</v>
      </c>
      <c r="K64" s="9" t="s">
        <v>791</v>
      </c>
      <c r="L64" s="9" t="s">
        <v>154</v>
      </c>
      <c r="M64" s="11"/>
      <c r="N64" s="11" t="s">
        <v>119</v>
      </c>
      <c r="O64" s="11" t="s">
        <v>61</v>
      </c>
      <c r="P64" s="11" t="s">
        <v>89</v>
      </c>
      <c r="Q64" s="11" t="s">
        <v>607</v>
      </c>
      <c r="R64" s="11"/>
      <c r="S64" s="11"/>
      <c r="T64" s="11"/>
      <c r="U64" s="9" t="s">
        <v>119</v>
      </c>
      <c r="V64" s="9" t="s">
        <v>61</v>
      </c>
      <c r="W64" s="9" t="s">
        <v>89</v>
      </c>
      <c r="X64" s="9" t="s">
        <v>607</v>
      </c>
    </row>
    <row r="65" customFormat="false" ht="32.8" hidden="false" customHeight="false" outlineLevel="0" collapsed="false">
      <c r="A65" s="9" t="s">
        <v>792</v>
      </c>
      <c r="B65" s="10" t="s">
        <v>34</v>
      </c>
      <c r="C65" s="9" t="s">
        <v>464</v>
      </c>
      <c r="D65" s="9" t="s">
        <v>465</v>
      </c>
      <c r="E65" s="9" t="n">
        <v>10</v>
      </c>
      <c r="F65" s="9"/>
      <c r="G65" s="9" t="s">
        <v>597</v>
      </c>
      <c r="H65" s="9" t="s">
        <v>793</v>
      </c>
      <c r="I65" s="9" t="s">
        <v>152</v>
      </c>
      <c r="J65" s="9"/>
      <c r="K65" s="9" t="s">
        <v>794</v>
      </c>
      <c r="L65" s="9" t="s">
        <v>154</v>
      </c>
      <c r="M65" s="11"/>
      <c r="N65" s="11" t="s">
        <v>122</v>
      </c>
      <c r="O65" s="11" t="s">
        <v>61</v>
      </c>
      <c r="P65" s="11" t="s">
        <v>89</v>
      </c>
      <c r="Q65" s="11"/>
      <c r="R65" s="11"/>
      <c r="S65" s="11"/>
      <c r="T65" s="11"/>
      <c r="U65" s="9" t="s">
        <v>122</v>
      </c>
      <c r="V65" s="9" t="s">
        <v>61</v>
      </c>
      <c r="W65" s="9" t="s">
        <v>89</v>
      </c>
      <c r="X65" s="9"/>
    </row>
    <row r="66" customFormat="false" ht="95.5" hidden="false" customHeight="false" outlineLevel="0" collapsed="false">
      <c r="A66" s="9" t="s">
        <v>795</v>
      </c>
      <c r="B66" s="10" t="s">
        <v>34</v>
      </c>
      <c r="C66" s="9" t="s">
        <v>470</v>
      </c>
      <c r="D66" s="9" t="s">
        <v>471</v>
      </c>
      <c r="E66" s="9" t="n">
        <v>10</v>
      </c>
      <c r="F66" s="9"/>
      <c r="G66" s="9" t="s">
        <v>652</v>
      </c>
      <c r="H66" s="9" t="s">
        <v>796</v>
      </c>
      <c r="I66" s="9" t="s">
        <v>152</v>
      </c>
      <c r="J66" s="9"/>
      <c r="K66" s="9" t="s">
        <v>797</v>
      </c>
      <c r="L66" s="9" t="s">
        <v>476</v>
      </c>
      <c r="M66" s="11"/>
      <c r="N66" s="11" t="s">
        <v>98</v>
      </c>
      <c r="O66" s="11" t="s">
        <v>74</v>
      </c>
      <c r="P66" s="11" t="s">
        <v>62</v>
      </c>
      <c r="Q66" s="11"/>
      <c r="R66" s="11"/>
      <c r="S66" s="11"/>
      <c r="T66" s="11"/>
      <c r="U66" s="9" t="s">
        <v>98</v>
      </c>
      <c r="V66" s="9" t="s">
        <v>74</v>
      </c>
      <c r="W66" s="9" t="s">
        <v>62</v>
      </c>
      <c r="X66" s="9"/>
    </row>
    <row r="67" customFormat="false" ht="95.5" hidden="false" customHeight="false" outlineLevel="0" collapsed="false">
      <c r="A67" s="9" t="s">
        <v>798</v>
      </c>
      <c r="B67" s="10" t="s">
        <v>34</v>
      </c>
      <c r="C67" s="9" t="s">
        <v>470</v>
      </c>
      <c r="D67" s="9" t="s">
        <v>471</v>
      </c>
      <c r="E67" s="9" t="n">
        <v>11</v>
      </c>
      <c r="F67" s="9"/>
      <c r="G67" s="9" t="s">
        <v>602</v>
      </c>
      <c r="H67" s="9" t="s">
        <v>799</v>
      </c>
      <c r="I67" s="9" t="s">
        <v>152</v>
      </c>
      <c r="J67" s="9"/>
      <c r="K67" s="9" t="s">
        <v>797</v>
      </c>
      <c r="L67" s="9" t="s">
        <v>476</v>
      </c>
      <c r="M67" s="11"/>
      <c r="N67" s="11" t="s">
        <v>114</v>
      </c>
      <c r="O67" s="11" t="s">
        <v>74</v>
      </c>
      <c r="P67" s="11" t="s">
        <v>89</v>
      </c>
      <c r="Q67" s="11"/>
      <c r="R67" s="11"/>
      <c r="S67" s="11"/>
      <c r="T67" s="11"/>
      <c r="U67" s="9" t="s">
        <v>114</v>
      </c>
      <c r="V67" s="9" t="s">
        <v>74</v>
      </c>
      <c r="W67" s="9" t="s">
        <v>89</v>
      </c>
      <c r="X67" s="9"/>
    </row>
    <row r="68" customFormat="false" ht="95.5" hidden="false" customHeight="false" outlineLevel="0" collapsed="false">
      <c r="A68" s="9" t="s">
        <v>800</v>
      </c>
      <c r="B68" s="10" t="s">
        <v>34</v>
      </c>
      <c r="C68" s="9" t="s">
        <v>470</v>
      </c>
      <c r="D68" s="9" t="s">
        <v>471</v>
      </c>
      <c r="E68" s="9" t="n">
        <v>17</v>
      </c>
      <c r="F68" s="9"/>
      <c r="G68" s="9" t="s">
        <v>660</v>
      </c>
      <c r="H68" s="9" t="s">
        <v>801</v>
      </c>
      <c r="I68" s="9" t="s">
        <v>152</v>
      </c>
      <c r="J68" s="9" t="s">
        <v>802</v>
      </c>
      <c r="K68" s="9" t="s">
        <v>797</v>
      </c>
      <c r="L68" s="9" t="s">
        <v>154</v>
      </c>
      <c r="M68" s="11"/>
      <c r="N68" s="11" t="s">
        <v>124</v>
      </c>
      <c r="O68" s="11" t="s">
        <v>74</v>
      </c>
      <c r="P68" s="11" t="s">
        <v>89</v>
      </c>
      <c r="Q68" s="11" t="s">
        <v>803</v>
      </c>
      <c r="R68" s="11"/>
      <c r="S68" s="11"/>
      <c r="T68" s="11"/>
      <c r="U68" s="9" t="s">
        <v>124</v>
      </c>
      <c r="V68" s="9" t="s">
        <v>74</v>
      </c>
      <c r="W68" s="9" t="s">
        <v>89</v>
      </c>
      <c r="X68" s="9" t="s">
        <v>803</v>
      </c>
    </row>
    <row r="69" customFormat="false" ht="95.5" hidden="false" customHeight="false" outlineLevel="0" collapsed="false">
      <c r="A69" s="9" t="s">
        <v>804</v>
      </c>
      <c r="B69" s="10" t="s">
        <v>34</v>
      </c>
      <c r="C69" s="9" t="s">
        <v>470</v>
      </c>
      <c r="D69" s="9" t="s">
        <v>471</v>
      </c>
      <c r="E69" s="9" t="n">
        <v>18</v>
      </c>
      <c r="F69" s="9"/>
      <c r="G69" s="9" t="s">
        <v>609</v>
      </c>
      <c r="H69" s="9" t="s">
        <v>805</v>
      </c>
      <c r="I69" s="9" t="s">
        <v>152</v>
      </c>
      <c r="J69" s="9"/>
      <c r="K69" s="9" t="s">
        <v>797</v>
      </c>
      <c r="L69" s="9" t="s">
        <v>476</v>
      </c>
      <c r="M69" s="11"/>
      <c r="N69" s="11" t="s">
        <v>119</v>
      </c>
      <c r="O69" s="11" t="s">
        <v>74</v>
      </c>
      <c r="P69" s="11" t="s">
        <v>89</v>
      </c>
      <c r="Q69" s="11"/>
      <c r="R69" s="11"/>
      <c r="S69" s="11"/>
      <c r="T69" s="11"/>
      <c r="U69" s="9" t="s">
        <v>119</v>
      </c>
      <c r="V69" s="9" t="s">
        <v>74</v>
      </c>
      <c r="W69" s="9" t="s">
        <v>89</v>
      </c>
      <c r="X69" s="9"/>
    </row>
    <row r="70" customFormat="false" ht="95.5" hidden="false" customHeight="false" outlineLevel="0" collapsed="false">
      <c r="A70" s="9" t="s">
        <v>806</v>
      </c>
      <c r="B70" s="10" t="s">
        <v>34</v>
      </c>
      <c r="C70" s="9" t="s">
        <v>470</v>
      </c>
      <c r="D70" s="9" t="s">
        <v>471</v>
      </c>
      <c r="E70" s="9" t="n">
        <v>25</v>
      </c>
      <c r="F70" s="9"/>
      <c r="G70" s="9" t="s">
        <v>657</v>
      </c>
      <c r="H70" s="9" t="s">
        <v>807</v>
      </c>
      <c r="I70" s="9" t="s">
        <v>152</v>
      </c>
      <c r="J70" s="9" t="s">
        <v>808</v>
      </c>
      <c r="K70" s="9" t="s">
        <v>797</v>
      </c>
      <c r="L70" s="9" t="s">
        <v>154</v>
      </c>
      <c r="M70" s="11"/>
      <c r="N70" s="11" t="s">
        <v>124</v>
      </c>
      <c r="O70" s="11" t="s">
        <v>61</v>
      </c>
      <c r="P70" s="11" t="s">
        <v>62</v>
      </c>
      <c r="Q70" s="11" t="s">
        <v>600</v>
      </c>
      <c r="R70" s="11"/>
      <c r="S70" s="11"/>
      <c r="T70" s="11"/>
      <c r="U70" s="9" t="s">
        <v>124</v>
      </c>
      <c r="V70" s="9" t="s">
        <v>61</v>
      </c>
      <c r="W70" s="9" t="s">
        <v>62</v>
      </c>
      <c r="X70" s="9" t="s">
        <v>600</v>
      </c>
    </row>
    <row r="71" customFormat="false" ht="64.15" hidden="false" customHeight="false" outlineLevel="0" collapsed="false">
      <c r="A71" s="9" t="s">
        <v>809</v>
      </c>
      <c r="B71" s="10" t="s">
        <v>34</v>
      </c>
      <c r="C71" s="9" t="s">
        <v>485</v>
      </c>
      <c r="D71" s="9" t="s">
        <v>486</v>
      </c>
      <c r="E71" s="9" t="n">
        <v>14</v>
      </c>
      <c r="F71" s="9"/>
      <c r="G71" s="9" t="s">
        <v>597</v>
      </c>
      <c r="H71" s="9" t="s">
        <v>490</v>
      </c>
      <c r="I71" s="9" t="s">
        <v>152</v>
      </c>
      <c r="J71" s="9" t="s">
        <v>810</v>
      </c>
      <c r="K71" s="9" t="s">
        <v>791</v>
      </c>
      <c r="L71" s="9" t="s">
        <v>154</v>
      </c>
      <c r="M71" s="11"/>
      <c r="N71" s="11" t="s">
        <v>124</v>
      </c>
      <c r="O71" s="11" t="s">
        <v>61</v>
      </c>
      <c r="P71" s="11" t="s">
        <v>89</v>
      </c>
      <c r="Q71" s="11" t="s">
        <v>672</v>
      </c>
      <c r="R71" s="11"/>
      <c r="S71" s="11"/>
      <c r="T71" s="11"/>
      <c r="U71" s="9" t="s">
        <v>124</v>
      </c>
      <c r="V71" s="9" t="s">
        <v>61</v>
      </c>
      <c r="W71" s="9" t="s">
        <v>89</v>
      </c>
      <c r="X71" s="9" t="s">
        <v>672</v>
      </c>
    </row>
    <row r="72" customFormat="false" ht="105.95" hidden="false" customHeight="false" outlineLevel="0" collapsed="false">
      <c r="A72" s="9" t="s">
        <v>811</v>
      </c>
      <c r="B72" s="13" t="s">
        <v>37</v>
      </c>
      <c r="C72" s="9" t="s">
        <v>493</v>
      </c>
      <c r="D72" s="9" t="s">
        <v>494</v>
      </c>
      <c r="E72" s="9" t="n">
        <v>6</v>
      </c>
      <c r="F72" s="9"/>
      <c r="G72" s="9" t="s">
        <v>597</v>
      </c>
      <c r="H72" s="9" t="s">
        <v>812</v>
      </c>
      <c r="I72" s="9" t="s">
        <v>152</v>
      </c>
      <c r="J72" s="9"/>
      <c r="K72" s="9" t="s">
        <v>813</v>
      </c>
      <c r="L72" s="9" t="s">
        <v>154</v>
      </c>
      <c r="M72" s="11"/>
      <c r="N72" s="11" t="s">
        <v>73</v>
      </c>
      <c r="O72" s="11" t="s">
        <v>74</v>
      </c>
      <c r="P72" s="11" t="s">
        <v>89</v>
      </c>
      <c r="Q72" s="11" t="s">
        <v>655</v>
      </c>
      <c r="R72" s="11"/>
      <c r="S72" s="11"/>
      <c r="T72" s="11"/>
      <c r="U72" s="9" t="s">
        <v>73</v>
      </c>
      <c r="V72" s="9" t="s">
        <v>74</v>
      </c>
      <c r="W72" s="9" t="s">
        <v>89</v>
      </c>
      <c r="X72" s="9" t="s">
        <v>655</v>
      </c>
    </row>
    <row r="73" customFormat="false" ht="105.95" hidden="false" customHeight="false" outlineLevel="0" collapsed="false">
      <c r="A73" s="9" t="s">
        <v>814</v>
      </c>
      <c r="B73" s="13" t="s">
        <v>37</v>
      </c>
      <c r="C73" s="9" t="s">
        <v>493</v>
      </c>
      <c r="D73" s="9" t="s">
        <v>494</v>
      </c>
      <c r="E73" s="9" t="n">
        <v>6</v>
      </c>
      <c r="F73" s="9"/>
      <c r="G73" s="9" t="s">
        <v>641</v>
      </c>
      <c r="H73" s="9" t="s">
        <v>815</v>
      </c>
      <c r="I73" s="9" t="s">
        <v>152</v>
      </c>
      <c r="J73" s="9"/>
      <c r="K73" s="9" t="s">
        <v>813</v>
      </c>
      <c r="L73" s="9" t="s">
        <v>154</v>
      </c>
      <c r="M73" s="11"/>
      <c r="N73" s="11" t="s">
        <v>98</v>
      </c>
      <c r="O73" s="11" t="s">
        <v>74</v>
      </c>
      <c r="P73" s="11" t="s">
        <v>75</v>
      </c>
      <c r="Q73" s="11" t="s">
        <v>627</v>
      </c>
      <c r="R73" s="11"/>
      <c r="S73" s="11"/>
      <c r="T73" s="11"/>
      <c r="U73" s="9" t="s">
        <v>98</v>
      </c>
      <c r="V73" s="9" t="s">
        <v>74</v>
      </c>
      <c r="W73" s="9" t="s">
        <v>75</v>
      </c>
      <c r="X73" s="9" t="s">
        <v>627</v>
      </c>
    </row>
    <row r="74" customFormat="false" ht="105.95" hidden="false" customHeight="false" outlineLevel="0" collapsed="false">
      <c r="A74" s="9" t="s">
        <v>816</v>
      </c>
      <c r="B74" s="13" t="s">
        <v>37</v>
      </c>
      <c r="C74" s="9" t="s">
        <v>493</v>
      </c>
      <c r="D74" s="9" t="s">
        <v>494</v>
      </c>
      <c r="E74" s="9" t="n">
        <v>12</v>
      </c>
      <c r="F74" s="9"/>
      <c r="G74" s="9" t="s">
        <v>817</v>
      </c>
      <c r="H74" s="9" t="s">
        <v>818</v>
      </c>
      <c r="I74" s="9" t="s">
        <v>152</v>
      </c>
      <c r="J74" s="9" t="s">
        <v>819</v>
      </c>
      <c r="K74" s="9" t="s">
        <v>813</v>
      </c>
      <c r="L74" s="9" t="s">
        <v>154</v>
      </c>
      <c r="M74" s="11"/>
      <c r="N74" s="11" t="s">
        <v>124</v>
      </c>
      <c r="O74" s="11" t="s">
        <v>74</v>
      </c>
      <c r="P74" s="11" t="s">
        <v>89</v>
      </c>
      <c r="Q74" s="11"/>
      <c r="R74" s="11"/>
      <c r="S74" s="11"/>
      <c r="T74" s="11"/>
      <c r="U74" s="9" t="s">
        <v>124</v>
      </c>
      <c r="V74" s="9" t="s">
        <v>74</v>
      </c>
      <c r="W74" s="9" t="s">
        <v>89</v>
      </c>
      <c r="X74" s="9"/>
    </row>
    <row r="75" customFormat="false" ht="105.95" hidden="false" customHeight="false" outlineLevel="0" collapsed="false">
      <c r="A75" s="9" t="s">
        <v>820</v>
      </c>
      <c r="B75" s="13" t="s">
        <v>37</v>
      </c>
      <c r="C75" s="9" t="s">
        <v>493</v>
      </c>
      <c r="D75" s="9" t="s">
        <v>494</v>
      </c>
      <c r="E75" s="9" t="n">
        <v>13</v>
      </c>
      <c r="F75" s="9"/>
      <c r="G75" s="9" t="s">
        <v>821</v>
      </c>
      <c r="H75" s="9" t="s">
        <v>822</v>
      </c>
      <c r="I75" s="9" t="s">
        <v>152</v>
      </c>
      <c r="J75" s="9"/>
      <c r="K75" s="9" t="s">
        <v>813</v>
      </c>
      <c r="L75" s="9" t="s">
        <v>154</v>
      </c>
      <c r="M75" s="11"/>
      <c r="N75" s="11" t="s">
        <v>119</v>
      </c>
      <c r="O75" s="11" t="s">
        <v>74</v>
      </c>
      <c r="P75" s="11" t="s">
        <v>89</v>
      </c>
      <c r="Q75" s="11"/>
      <c r="R75" s="11"/>
      <c r="S75" s="11"/>
      <c r="T75" s="11"/>
      <c r="U75" s="9" t="s">
        <v>119</v>
      </c>
      <c r="V75" s="9" t="s">
        <v>74</v>
      </c>
      <c r="W75" s="9" t="s">
        <v>89</v>
      </c>
      <c r="X75" s="9"/>
    </row>
    <row r="76" customFormat="false" ht="105.95" hidden="false" customHeight="false" outlineLevel="0" collapsed="false">
      <c r="A76" s="9" t="s">
        <v>823</v>
      </c>
      <c r="B76" s="13" t="s">
        <v>37</v>
      </c>
      <c r="C76" s="9" t="s">
        <v>493</v>
      </c>
      <c r="D76" s="9" t="s">
        <v>494</v>
      </c>
      <c r="E76" s="9" t="n">
        <v>21</v>
      </c>
      <c r="F76" s="9"/>
      <c r="G76" s="9" t="s">
        <v>824</v>
      </c>
      <c r="H76" s="9" t="s">
        <v>825</v>
      </c>
      <c r="I76" s="9" t="s">
        <v>152</v>
      </c>
      <c r="J76" s="9" t="s">
        <v>826</v>
      </c>
      <c r="K76" s="9" t="s">
        <v>813</v>
      </c>
      <c r="L76" s="9" t="s">
        <v>154</v>
      </c>
      <c r="M76" s="11"/>
      <c r="N76" s="11" t="s">
        <v>124</v>
      </c>
      <c r="O76" s="11" t="s">
        <v>74</v>
      </c>
      <c r="P76" s="11" t="s">
        <v>89</v>
      </c>
      <c r="Q76" s="11" t="s">
        <v>607</v>
      </c>
      <c r="R76" s="11"/>
      <c r="S76" s="11"/>
      <c r="T76" s="11"/>
      <c r="U76" s="9" t="s">
        <v>124</v>
      </c>
      <c r="V76" s="9" t="s">
        <v>74</v>
      </c>
      <c r="W76" s="9" t="s">
        <v>89</v>
      </c>
      <c r="X76" s="9" t="s">
        <v>607</v>
      </c>
    </row>
    <row r="77" customFormat="false" ht="126.85" hidden="false" customHeight="false" outlineLevel="0" collapsed="false">
      <c r="A77" s="9" t="s">
        <v>827</v>
      </c>
      <c r="B77" s="10" t="s">
        <v>34</v>
      </c>
      <c r="C77" s="9" t="s">
        <v>513</v>
      </c>
      <c r="D77" s="9" t="s">
        <v>514</v>
      </c>
      <c r="E77" s="9" t="n">
        <v>7</v>
      </c>
      <c r="F77" s="9"/>
      <c r="G77" s="9" t="s">
        <v>652</v>
      </c>
      <c r="H77" s="9" t="s">
        <v>828</v>
      </c>
      <c r="I77" s="9" t="s">
        <v>152</v>
      </c>
      <c r="J77" s="9"/>
      <c r="K77" s="9" t="s">
        <v>829</v>
      </c>
      <c r="L77" s="9" t="s">
        <v>154</v>
      </c>
      <c r="M77" s="11"/>
      <c r="N77" s="11" t="s">
        <v>125</v>
      </c>
      <c r="O77" s="11" t="s">
        <v>61</v>
      </c>
      <c r="P77" s="11" t="s">
        <v>75</v>
      </c>
      <c r="Q77" s="11" t="s">
        <v>655</v>
      </c>
      <c r="R77" s="11"/>
      <c r="S77" s="11"/>
      <c r="T77" s="11"/>
      <c r="U77" s="9" t="s">
        <v>125</v>
      </c>
      <c r="V77" s="9" t="s">
        <v>61</v>
      </c>
      <c r="W77" s="9" t="s">
        <v>75</v>
      </c>
      <c r="X77" s="9" t="s">
        <v>655</v>
      </c>
    </row>
    <row r="78" customFormat="false" ht="126.85" hidden="false" customHeight="false" outlineLevel="0" collapsed="false">
      <c r="A78" s="9" t="s">
        <v>830</v>
      </c>
      <c r="B78" s="13" t="s">
        <v>37</v>
      </c>
      <c r="C78" s="9" t="s">
        <v>513</v>
      </c>
      <c r="D78" s="9" t="s">
        <v>514</v>
      </c>
      <c r="E78" s="9" t="n">
        <v>7</v>
      </c>
      <c r="F78" s="9"/>
      <c r="G78" s="9" t="s">
        <v>602</v>
      </c>
      <c r="H78" s="9" t="s">
        <v>831</v>
      </c>
      <c r="I78" s="9" t="s">
        <v>152</v>
      </c>
      <c r="J78" s="9"/>
      <c r="K78" s="9" t="s">
        <v>829</v>
      </c>
      <c r="L78" s="9" t="s">
        <v>154</v>
      </c>
      <c r="M78" s="11"/>
      <c r="N78" s="11" t="s">
        <v>73</v>
      </c>
      <c r="O78" s="11" t="s">
        <v>61</v>
      </c>
      <c r="P78" s="11" t="s">
        <v>89</v>
      </c>
      <c r="Q78" s="11"/>
      <c r="R78" s="11"/>
      <c r="S78" s="11"/>
      <c r="T78" s="11"/>
      <c r="U78" s="9" t="s">
        <v>73</v>
      </c>
      <c r="V78" s="9" t="s">
        <v>61</v>
      </c>
      <c r="W78" s="9" t="s">
        <v>89</v>
      </c>
      <c r="X78" s="9"/>
    </row>
    <row r="79" customFormat="false" ht="126.85" hidden="false" customHeight="false" outlineLevel="0" collapsed="false">
      <c r="A79" s="9" t="s">
        <v>832</v>
      </c>
      <c r="B79" s="13" t="s">
        <v>37</v>
      </c>
      <c r="C79" s="9" t="s">
        <v>513</v>
      </c>
      <c r="D79" s="9" t="s">
        <v>514</v>
      </c>
      <c r="E79" s="9" t="n">
        <v>7</v>
      </c>
      <c r="F79" s="9"/>
      <c r="G79" s="9" t="s">
        <v>609</v>
      </c>
      <c r="H79" s="9" t="s">
        <v>833</v>
      </c>
      <c r="I79" s="9" t="s">
        <v>185</v>
      </c>
      <c r="J79" s="9"/>
      <c r="K79" s="9" t="s">
        <v>829</v>
      </c>
      <c r="L79" s="9" t="s">
        <v>154</v>
      </c>
      <c r="M79" s="11"/>
      <c r="N79" s="11" t="s">
        <v>98</v>
      </c>
      <c r="O79" s="11" t="s">
        <v>61</v>
      </c>
      <c r="P79" s="11" t="s">
        <v>89</v>
      </c>
      <c r="Q79" s="11" t="s">
        <v>629</v>
      </c>
      <c r="R79" s="11"/>
      <c r="S79" s="11"/>
      <c r="T79" s="11"/>
      <c r="U79" s="9" t="s">
        <v>98</v>
      </c>
      <c r="V79" s="9" t="s">
        <v>61</v>
      </c>
      <c r="W79" s="9" t="s">
        <v>89</v>
      </c>
      <c r="X79" s="9" t="s">
        <v>629</v>
      </c>
    </row>
    <row r="80" customFormat="false" ht="126.85" hidden="false" customHeight="false" outlineLevel="0" collapsed="false">
      <c r="A80" s="9" t="s">
        <v>834</v>
      </c>
      <c r="B80" s="13" t="s">
        <v>37</v>
      </c>
      <c r="C80" s="9" t="s">
        <v>513</v>
      </c>
      <c r="D80" s="9" t="s">
        <v>514</v>
      </c>
      <c r="E80" s="9" t="n">
        <v>8</v>
      </c>
      <c r="F80" s="9"/>
      <c r="G80" s="9" t="s">
        <v>657</v>
      </c>
      <c r="H80" s="9" t="s">
        <v>835</v>
      </c>
      <c r="I80" s="9" t="s">
        <v>152</v>
      </c>
      <c r="J80" s="9" t="s">
        <v>836</v>
      </c>
      <c r="K80" s="9" t="s">
        <v>829</v>
      </c>
      <c r="L80" s="9" t="s">
        <v>154</v>
      </c>
      <c r="M80" s="11"/>
      <c r="N80" s="11" t="s">
        <v>124</v>
      </c>
      <c r="O80" s="11" t="s">
        <v>61</v>
      </c>
      <c r="P80" s="11" t="s">
        <v>89</v>
      </c>
      <c r="Q80" s="11" t="s">
        <v>672</v>
      </c>
      <c r="R80" s="11"/>
      <c r="S80" s="11"/>
      <c r="T80" s="11"/>
      <c r="U80" s="9" t="s">
        <v>124</v>
      </c>
      <c r="V80" s="9" t="s">
        <v>61</v>
      </c>
      <c r="W80" s="9" t="s">
        <v>89</v>
      </c>
      <c r="X80" s="9" t="s">
        <v>672</v>
      </c>
    </row>
    <row r="81" customFormat="false" ht="126.85" hidden="false" customHeight="false" outlineLevel="0" collapsed="false">
      <c r="A81" s="9" t="s">
        <v>837</v>
      </c>
      <c r="B81" s="13" t="s">
        <v>37</v>
      </c>
      <c r="C81" s="9" t="s">
        <v>513</v>
      </c>
      <c r="D81" s="9" t="s">
        <v>514</v>
      </c>
      <c r="E81" s="9" t="n">
        <v>8</v>
      </c>
      <c r="F81" s="9"/>
      <c r="G81" s="9" t="s">
        <v>660</v>
      </c>
      <c r="H81" s="9" t="s">
        <v>838</v>
      </c>
      <c r="I81" s="9" t="s">
        <v>152</v>
      </c>
      <c r="J81" s="9" t="s">
        <v>839</v>
      </c>
      <c r="K81" s="9" t="s">
        <v>829</v>
      </c>
      <c r="L81" s="9" t="s">
        <v>154</v>
      </c>
      <c r="M81" s="11"/>
      <c r="N81" s="11" t="s">
        <v>124</v>
      </c>
      <c r="O81" s="11" t="s">
        <v>61</v>
      </c>
      <c r="P81" s="11" t="s">
        <v>75</v>
      </c>
      <c r="Q81" s="11"/>
      <c r="R81" s="11"/>
      <c r="S81" s="11"/>
      <c r="T81" s="11"/>
      <c r="U81" s="9" t="s">
        <v>124</v>
      </c>
      <c r="V81" s="9" t="s">
        <v>61</v>
      </c>
      <c r="W81" s="9" t="s">
        <v>75</v>
      </c>
      <c r="X81" s="9"/>
    </row>
    <row r="82" customFormat="false" ht="85.05" hidden="false" customHeight="false" outlineLevel="0" collapsed="false">
      <c r="A82" s="9" t="s">
        <v>840</v>
      </c>
      <c r="B82" s="13" t="s">
        <v>37</v>
      </c>
      <c r="C82" s="9" t="s">
        <v>533</v>
      </c>
      <c r="D82" s="9" t="s">
        <v>534</v>
      </c>
      <c r="E82" s="9" t="n">
        <v>3</v>
      </c>
      <c r="F82" s="9"/>
      <c r="G82" s="9" t="s">
        <v>631</v>
      </c>
      <c r="H82" s="9" t="s">
        <v>841</v>
      </c>
      <c r="I82" s="9" t="s">
        <v>152</v>
      </c>
      <c r="J82" s="9"/>
      <c r="K82" s="9" t="s">
        <v>842</v>
      </c>
      <c r="L82" s="9" t="s">
        <v>154</v>
      </c>
      <c r="M82" s="11"/>
      <c r="N82" s="11" t="s">
        <v>98</v>
      </c>
      <c r="O82" s="11" t="s">
        <v>74</v>
      </c>
      <c r="P82" s="11" t="s">
        <v>75</v>
      </c>
      <c r="Q82" s="11" t="s">
        <v>607</v>
      </c>
      <c r="R82" s="11"/>
      <c r="S82" s="11"/>
      <c r="T82" s="11"/>
      <c r="U82" s="9" t="s">
        <v>98</v>
      </c>
      <c r="V82" s="9" t="s">
        <v>74</v>
      </c>
      <c r="W82" s="9" t="s">
        <v>75</v>
      </c>
      <c r="X82" s="9" t="s">
        <v>607</v>
      </c>
    </row>
    <row r="83" customFormat="false" ht="85.05" hidden="false" customHeight="false" outlineLevel="0" collapsed="false">
      <c r="A83" s="9" t="s">
        <v>843</v>
      </c>
      <c r="B83" s="13" t="s">
        <v>37</v>
      </c>
      <c r="C83" s="9" t="s">
        <v>533</v>
      </c>
      <c r="D83" s="9" t="s">
        <v>534</v>
      </c>
      <c r="E83" s="9" t="n">
        <v>6</v>
      </c>
      <c r="F83" s="9"/>
      <c r="G83" s="9" t="s">
        <v>597</v>
      </c>
      <c r="H83" s="9" t="s">
        <v>844</v>
      </c>
      <c r="I83" s="9" t="s">
        <v>152</v>
      </c>
      <c r="J83" s="9" t="s">
        <v>845</v>
      </c>
      <c r="K83" s="9" t="s">
        <v>842</v>
      </c>
      <c r="L83" s="9" t="s">
        <v>154</v>
      </c>
      <c r="M83" s="11"/>
      <c r="N83" s="11" t="s">
        <v>124</v>
      </c>
      <c r="O83" s="11" t="s">
        <v>74</v>
      </c>
      <c r="P83" s="11" t="s">
        <v>89</v>
      </c>
      <c r="Q83" s="11" t="s">
        <v>672</v>
      </c>
      <c r="R83" s="11"/>
      <c r="S83" s="11"/>
      <c r="T83" s="11"/>
      <c r="U83" s="9" t="s">
        <v>124</v>
      </c>
      <c r="V83" s="9" t="s">
        <v>74</v>
      </c>
      <c r="W83" s="9" t="s">
        <v>89</v>
      </c>
      <c r="X83" s="9" t="s">
        <v>672</v>
      </c>
    </row>
    <row r="84" customFormat="false" ht="85.05" hidden="false" customHeight="false" outlineLevel="0" collapsed="false">
      <c r="A84" s="9" t="s">
        <v>846</v>
      </c>
      <c r="B84" s="13" t="s">
        <v>37</v>
      </c>
      <c r="C84" s="9" t="s">
        <v>533</v>
      </c>
      <c r="D84" s="9" t="s">
        <v>534</v>
      </c>
      <c r="E84" s="9" t="n">
        <v>11</v>
      </c>
      <c r="F84" s="9"/>
      <c r="G84" s="9" t="s">
        <v>641</v>
      </c>
      <c r="H84" s="9" t="s">
        <v>847</v>
      </c>
      <c r="I84" s="9" t="s">
        <v>152</v>
      </c>
      <c r="J84" s="9"/>
      <c r="K84" s="9" t="s">
        <v>842</v>
      </c>
      <c r="L84" s="9" t="s">
        <v>154</v>
      </c>
      <c r="M84" s="11"/>
      <c r="N84" s="11" t="s">
        <v>98</v>
      </c>
      <c r="O84" s="11" t="s">
        <v>74</v>
      </c>
      <c r="P84" s="11" t="s">
        <v>89</v>
      </c>
      <c r="Q84" s="11" t="s">
        <v>627</v>
      </c>
      <c r="R84" s="11"/>
      <c r="S84" s="11"/>
      <c r="T84" s="11"/>
      <c r="U84" s="9" t="s">
        <v>98</v>
      </c>
      <c r="V84" s="9" t="s">
        <v>74</v>
      </c>
      <c r="W84" s="9" t="s">
        <v>89</v>
      </c>
      <c r="X84" s="9" t="s">
        <v>627</v>
      </c>
    </row>
    <row r="85" customFormat="false" ht="85.05" hidden="false" customHeight="false" outlineLevel="0" collapsed="false">
      <c r="A85" s="9" t="s">
        <v>848</v>
      </c>
      <c r="B85" s="10" t="s">
        <v>34</v>
      </c>
      <c r="C85" s="9" t="s">
        <v>546</v>
      </c>
      <c r="D85" s="9" t="s">
        <v>547</v>
      </c>
      <c r="E85" s="9" t="n">
        <v>9</v>
      </c>
      <c r="F85" s="9"/>
      <c r="G85" s="9" t="s">
        <v>641</v>
      </c>
      <c r="H85" s="9" t="s">
        <v>849</v>
      </c>
      <c r="I85" s="9" t="s">
        <v>152</v>
      </c>
      <c r="J85" s="9"/>
      <c r="K85" s="9" t="s">
        <v>850</v>
      </c>
      <c r="L85" s="9" t="s">
        <v>154</v>
      </c>
      <c r="M85" s="11"/>
      <c r="N85" s="11" t="s">
        <v>125</v>
      </c>
      <c r="O85" s="11" t="s">
        <v>61</v>
      </c>
      <c r="P85" s="11" t="s">
        <v>89</v>
      </c>
      <c r="Q85" s="11"/>
      <c r="R85" s="11"/>
      <c r="S85" s="11"/>
      <c r="T85" s="11"/>
      <c r="U85" s="9" t="s">
        <v>125</v>
      </c>
      <c r="V85" s="9" t="s">
        <v>61</v>
      </c>
      <c r="W85" s="9" t="s">
        <v>89</v>
      </c>
      <c r="X85" s="9"/>
    </row>
    <row r="86" customFormat="false" ht="85.05" hidden="false" customHeight="false" outlineLevel="0" collapsed="false">
      <c r="A86" s="9" t="s">
        <v>851</v>
      </c>
      <c r="B86" s="13" t="s">
        <v>37</v>
      </c>
      <c r="C86" s="9" t="s">
        <v>546</v>
      </c>
      <c r="D86" s="9" t="s">
        <v>547</v>
      </c>
      <c r="E86" s="9" t="n">
        <v>12</v>
      </c>
      <c r="F86" s="9"/>
      <c r="G86" s="9" t="s">
        <v>597</v>
      </c>
      <c r="H86" s="9" t="s">
        <v>852</v>
      </c>
      <c r="I86" s="9" t="s">
        <v>152</v>
      </c>
      <c r="J86" s="9" t="s">
        <v>853</v>
      </c>
      <c r="K86" s="9" t="s">
        <v>850</v>
      </c>
      <c r="L86" s="9" t="s">
        <v>154</v>
      </c>
      <c r="M86" s="11"/>
      <c r="N86" s="11" t="s">
        <v>124</v>
      </c>
      <c r="O86" s="11" t="s">
        <v>61</v>
      </c>
      <c r="P86" s="11" t="s">
        <v>89</v>
      </c>
      <c r="Q86" s="11"/>
      <c r="R86" s="11"/>
      <c r="S86" s="11"/>
      <c r="T86" s="11"/>
      <c r="U86" s="9" t="s">
        <v>124</v>
      </c>
      <c r="V86" s="9" t="s">
        <v>61</v>
      </c>
      <c r="W86" s="9" t="s">
        <v>89</v>
      </c>
      <c r="X86" s="9"/>
    </row>
    <row r="87" customFormat="false" ht="74.6" hidden="false" customHeight="false" outlineLevel="0" collapsed="false">
      <c r="A87" s="9" t="s">
        <v>854</v>
      </c>
      <c r="B87" s="13" t="s">
        <v>37</v>
      </c>
      <c r="C87" s="9" t="s">
        <v>567</v>
      </c>
      <c r="D87" s="9" t="s">
        <v>568</v>
      </c>
      <c r="E87" s="9" t="n">
        <v>4</v>
      </c>
      <c r="F87" s="9"/>
      <c r="G87" s="9" t="s">
        <v>641</v>
      </c>
      <c r="H87" s="9" t="s">
        <v>855</v>
      </c>
      <c r="I87" s="9" t="s">
        <v>152</v>
      </c>
      <c r="J87" s="9" t="s">
        <v>856</v>
      </c>
      <c r="K87" s="9" t="s">
        <v>857</v>
      </c>
      <c r="L87" s="9" t="s">
        <v>154</v>
      </c>
      <c r="M87" s="11"/>
      <c r="N87" s="11" t="s">
        <v>124</v>
      </c>
      <c r="O87" s="11" t="s">
        <v>74</v>
      </c>
      <c r="P87" s="11" t="s">
        <v>89</v>
      </c>
      <c r="Q87" s="11" t="s">
        <v>629</v>
      </c>
      <c r="R87" s="11"/>
      <c r="S87" s="11"/>
      <c r="T87" s="11"/>
      <c r="U87" s="9" t="s">
        <v>124</v>
      </c>
      <c r="V87" s="9" t="s">
        <v>74</v>
      </c>
      <c r="W87" s="9" t="s">
        <v>89</v>
      </c>
      <c r="X87" s="9" t="s">
        <v>629</v>
      </c>
    </row>
    <row r="88" customFormat="false" ht="74.6" hidden="false" customHeight="false" outlineLevel="0" collapsed="false">
      <c r="A88" s="9" t="s">
        <v>858</v>
      </c>
      <c r="B88" s="13" t="s">
        <v>37</v>
      </c>
      <c r="C88" s="9" t="s">
        <v>567</v>
      </c>
      <c r="D88" s="9" t="s">
        <v>568</v>
      </c>
      <c r="E88" s="9" t="n">
        <v>7</v>
      </c>
      <c r="F88" s="9"/>
      <c r="G88" s="9" t="s">
        <v>821</v>
      </c>
      <c r="H88" s="9" t="s">
        <v>859</v>
      </c>
      <c r="I88" s="9" t="s">
        <v>152</v>
      </c>
      <c r="J88" s="9"/>
      <c r="K88" s="9" t="s">
        <v>857</v>
      </c>
      <c r="L88" s="9" t="s">
        <v>154</v>
      </c>
      <c r="M88" s="11"/>
      <c r="N88" s="11" t="s">
        <v>98</v>
      </c>
      <c r="O88" s="11" t="s">
        <v>74</v>
      </c>
      <c r="P88" s="11" t="s">
        <v>89</v>
      </c>
      <c r="Q88" s="11" t="s">
        <v>627</v>
      </c>
      <c r="R88" s="11"/>
      <c r="S88" s="11"/>
      <c r="T88" s="11"/>
      <c r="U88" s="9" t="s">
        <v>98</v>
      </c>
      <c r="V88" s="9" t="s">
        <v>74</v>
      </c>
      <c r="W88" s="9" t="s">
        <v>89</v>
      </c>
      <c r="X88" s="9" t="s">
        <v>627</v>
      </c>
    </row>
    <row r="89" customFormat="false" ht="74.6" hidden="false" customHeight="false" outlineLevel="0" collapsed="false">
      <c r="A89" s="9" t="s">
        <v>860</v>
      </c>
      <c r="B89" s="13" t="s">
        <v>37</v>
      </c>
      <c r="C89" s="9" t="s">
        <v>567</v>
      </c>
      <c r="D89" s="9" t="s">
        <v>568</v>
      </c>
      <c r="E89" s="9" t="n">
        <v>8</v>
      </c>
      <c r="F89" s="9"/>
      <c r="G89" s="9" t="s">
        <v>597</v>
      </c>
      <c r="H89" s="9" t="s">
        <v>861</v>
      </c>
      <c r="I89" s="9" t="s">
        <v>152</v>
      </c>
      <c r="J89" s="9" t="s">
        <v>862</v>
      </c>
      <c r="K89" s="9" t="s">
        <v>857</v>
      </c>
      <c r="L89" s="9" t="s">
        <v>154</v>
      </c>
      <c r="M89" s="11"/>
      <c r="N89" s="11" t="s">
        <v>124</v>
      </c>
      <c r="O89" s="11" t="s">
        <v>74</v>
      </c>
      <c r="P89" s="11" t="s">
        <v>89</v>
      </c>
      <c r="Q89" s="11" t="s">
        <v>672</v>
      </c>
      <c r="R89" s="11"/>
      <c r="S89" s="11"/>
      <c r="T89" s="11"/>
      <c r="U89" s="9" t="s">
        <v>124</v>
      </c>
      <c r="V89" s="9" t="s">
        <v>74</v>
      </c>
      <c r="W89" s="9" t="s">
        <v>89</v>
      </c>
      <c r="X89" s="9" t="s">
        <v>672</v>
      </c>
    </row>
    <row r="90" customFormat="false" ht="74.6" hidden="false" customHeight="false" outlineLevel="0" collapsed="false">
      <c r="A90" s="9" t="s">
        <v>863</v>
      </c>
      <c r="B90" s="13" t="s">
        <v>37</v>
      </c>
      <c r="C90" s="9" t="s">
        <v>567</v>
      </c>
      <c r="D90" s="9" t="s">
        <v>568</v>
      </c>
      <c r="E90" s="9" t="n">
        <v>9</v>
      </c>
      <c r="F90" s="9"/>
      <c r="G90" s="9" t="s">
        <v>631</v>
      </c>
      <c r="H90" s="9" t="s">
        <v>864</v>
      </c>
      <c r="I90" s="9" t="s">
        <v>152</v>
      </c>
      <c r="J90" s="9"/>
      <c r="K90" s="9" t="s">
        <v>857</v>
      </c>
      <c r="L90" s="9" t="s">
        <v>154</v>
      </c>
      <c r="M90" s="11"/>
      <c r="N90" s="11" t="s">
        <v>98</v>
      </c>
      <c r="O90" s="11" t="s">
        <v>74</v>
      </c>
      <c r="P90" s="11" t="s">
        <v>89</v>
      </c>
      <c r="Q90" s="11" t="s">
        <v>865</v>
      </c>
      <c r="R90" s="11"/>
      <c r="S90" s="11"/>
      <c r="T90" s="11"/>
      <c r="U90" s="9" t="s">
        <v>98</v>
      </c>
      <c r="V90" s="9" t="s">
        <v>74</v>
      </c>
      <c r="W90" s="9" t="s">
        <v>89</v>
      </c>
      <c r="X90" s="9" t="s">
        <v>865</v>
      </c>
    </row>
    <row r="91" customFormat="false" ht="32.8" hidden="false" customHeight="false" outlineLevel="0" collapsed="false">
      <c r="A91" s="9" t="s">
        <v>866</v>
      </c>
      <c r="B91" s="10" t="s">
        <v>34</v>
      </c>
      <c r="C91" s="9" t="s">
        <v>584</v>
      </c>
      <c r="D91" s="9" t="s">
        <v>585</v>
      </c>
      <c r="E91" s="9" t="n">
        <v>7</v>
      </c>
      <c r="F91" s="9"/>
      <c r="G91" s="9" t="s">
        <v>597</v>
      </c>
      <c r="H91" s="9" t="s">
        <v>867</v>
      </c>
      <c r="I91" s="9" t="s">
        <v>152</v>
      </c>
      <c r="J91" s="9"/>
      <c r="K91" s="9" t="s">
        <v>868</v>
      </c>
      <c r="L91" s="9" t="s">
        <v>154</v>
      </c>
      <c r="M91" s="11"/>
      <c r="N91" s="11" t="s">
        <v>114</v>
      </c>
      <c r="O91" s="11" t="s">
        <v>74</v>
      </c>
      <c r="P91" s="11" t="s">
        <v>89</v>
      </c>
      <c r="Q91" s="11"/>
      <c r="R91" s="11"/>
      <c r="S91" s="11"/>
      <c r="T91" s="11"/>
      <c r="U91" s="9" t="s">
        <v>114</v>
      </c>
      <c r="V91" s="9" t="s">
        <v>74</v>
      </c>
      <c r="W91" s="9" t="s">
        <v>89</v>
      </c>
      <c r="X91" s="9"/>
    </row>
    <row r="92" customFormat="false" ht="32.8" hidden="false" customHeight="false" outlineLevel="0" collapsed="false">
      <c r="A92" s="9" t="s">
        <v>869</v>
      </c>
      <c r="B92" s="10" t="s">
        <v>34</v>
      </c>
      <c r="C92" s="9" t="s">
        <v>584</v>
      </c>
      <c r="D92" s="9" t="s">
        <v>585</v>
      </c>
      <c r="E92" s="9" t="n">
        <v>7</v>
      </c>
      <c r="F92" s="9"/>
      <c r="G92" s="9" t="s">
        <v>641</v>
      </c>
      <c r="H92" s="9" t="s">
        <v>870</v>
      </c>
      <c r="I92" s="9" t="s">
        <v>152</v>
      </c>
      <c r="J92" s="9"/>
      <c r="K92" s="9" t="s">
        <v>868</v>
      </c>
      <c r="L92" s="9" t="s">
        <v>154</v>
      </c>
      <c r="M92" s="11"/>
      <c r="N92" s="11" t="s">
        <v>98</v>
      </c>
      <c r="O92" s="11" t="s">
        <v>74</v>
      </c>
      <c r="P92" s="11" t="s">
        <v>75</v>
      </c>
      <c r="Q92" s="11" t="s">
        <v>607</v>
      </c>
      <c r="R92" s="11"/>
      <c r="S92" s="11"/>
      <c r="T92" s="11"/>
      <c r="U92" s="9" t="s">
        <v>98</v>
      </c>
      <c r="V92" s="9" t="s">
        <v>74</v>
      </c>
      <c r="W92" s="9" t="s">
        <v>75</v>
      </c>
      <c r="X92" s="9" t="s">
        <v>607</v>
      </c>
    </row>
  </sheetData>
  <autoFilter ref="A1:X92"/>
  <conditionalFormatting sqref="N2:N92">
    <cfRule type="expression" priority="2" aboveAverage="0" equalAverage="0" bottom="0" percent="0" rank="0" text="" dxfId="6">
      <formula>$N2&lt;&gt;$U2</formula>
    </cfRule>
  </conditionalFormatting>
  <conditionalFormatting sqref="O2:O92">
    <cfRule type="expression" priority="3" aboveAverage="0" equalAverage="0" bottom="0" percent="0" rank="0" text="" dxfId="6">
      <formula>$O2&lt;&gt;$V2</formula>
    </cfRule>
  </conditionalFormatting>
  <conditionalFormatting sqref="P2:P92">
    <cfRule type="expression" priority="4" aboveAverage="0" equalAverage="0" bottom="0" percent="0" rank="0" text="" dxfId="6">
      <formula>$P2&lt;&gt;$W2</formula>
    </cfRule>
  </conditionalFormatting>
  <conditionalFormatting sqref="Q2:Q92">
    <cfRule type="expression" priority="5" aboveAverage="0" equalAverage="0" bottom="0" percent="0" rank="0" text="" dxfId="6">
      <formula>$Q2&lt;&gt;$X2</formula>
    </cfRule>
  </conditionalFormatting>
  <dataValidations count="6">
    <dataValidation allowBlank="true" errorStyle="stop" operator="between" showDropDown="false" showErrorMessage="false" showInputMessage="false" sqref="M2:M92" type="list">
      <formula1>Listas!$M$2:$M$3</formula1>
      <formula2>0</formula2>
    </dataValidation>
    <dataValidation allowBlank="true" errorStyle="stop" operator="between" showDropDown="false" showErrorMessage="false" showInputMessage="false" sqref="N2:N92" type="list">
      <formula1>Listas!$D$2:$D$12</formula1>
      <formula2>0</formula2>
    </dataValidation>
    <dataValidation allowBlank="true" errorStyle="stop" operator="between" showDropDown="false" showErrorMessage="false" showInputMessage="false" sqref="O2:O92" type="list">
      <formula1>Listas!$E$2:$E$4</formula1>
      <formula2>0</formula2>
    </dataValidation>
    <dataValidation allowBlank="true" errorStyle="stop" operator="between" showDropDown="false" showErrorMessage="false" showInputMessage="false" sqref="P2:P92" type="list">
      <formula1>Listas!$F$2:$F$4</formula1>
      <formula2>0</formula2>
    </dataValidation>
    <dataValidation allowBlank="true" errorStyle="stop" operator="between" showDropDown="false" showErrorMessage="false" showInputMessage="false" sqref="R2:R92" type="list">
      <formula1>Listas!$N$2:$N$5</formula1>
      <formula2>0</formula2>
    </dataValidation>
    <dataValidation allowBlank="true" errorStyle="stop" operator="between" showDropDown="false" showErrorMessage="false" showInputMessage="false" sqref="T2:T92" type="list">
      <formula1>Listas!$O$2:$O$2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
    <col collapsed="false" customWidth="true" hidden="false" outlineLevel="0" max="4" min="3" style="0" width="16"/>
    <col collapsed="false" customWidth="true" hidden="false" outlineLevel="0" max="5" min="5" style="0" width="5"/>
    <col collapsed="false" customWidth="true" hidden="false" outlineLevel="0" max="6" min="6" style="0" width="9"/>
    <col collapsed="false" customWidth="true" hidden="false" outlineLevel="0" max="7" min="7" style="0" width="22"/>
    <col collapsed="false" customWidth="true" hidden="false" outlineLevel="0" max="8" min="8" style="0" width="14"/>
    <col collapsed="false" customWidth="true" hidden="false" outlineLevel="0" max="9" min="9" style="0" width="30"/>
    <col collapsed="false" customWidth="true" hidden="false" outlineLevel="0" max="10" min="10" style="0" width="60"/>
    <col collapsed="false" customWidth="true" hidden="false" outlineLevel="0" max="12" min="11" style="0" width="11"/>
    <col collapsed="false" customWidth="true" hidden="false" outlineLevel="0" max="13" min="13" style="0" width="9"/>
    <col collapsed="false" customWidth="true" hidden="false" outlineLevel="0" max="14" min="14" style="0" width="24"/>
    <col collapsed="false" customWidth="true" hidden="false" outlineLevel="0" max="15" min="15" style="0" width="30"/>
    <col collapsed="false" customWidth="true" hidden="false" outlineLevel="0" max="16" min="16" style="0" width="8"/>
    <col collapsed="false" customWidth="true" hidden="true" outlineLevel="0" max="17" min="17" style="0" width="13"/>
  </cols>
  <sheetData>
    <row r="1" customFormat="false" ht="43.25" hidden="false" customHeight="false" outlineLevel="0" collapsed="false">
      <c r="A1" s="4" t="s">
        <v>127</v>
      </c>
      <c r="B1" s="4" t="s">
        <v>26</v>
      </c>
      <c r="C1" s="4" t="s">
        <v>128</v>
      </c>
      <c r="D1" s="4" t="s">
        <v>129</v>
      </c>
      <c r="E1" s="4" t="s">
        <v>130</v>
      </c>
      <c r="F1" s="4" t="s">
        <v>131</v>
      </c>
      <c r="G1" s="4" t="s">
        <v>871</v>
      </c>
      <c r="H1" s="4" t="s">
        <v>872</v>
      </c>
      <c r="I1" s="4" t="s">
        <v>873</v>
      </c>
      <c r="J1" s="4" t="s">
        <v>133</v>
      </c>
      <c r="K1" s="4" t="s">
        <v>134</v>
      </c>
      <c r="L1" s="4" t="s">
        <v>136</v>
      </c>
      <c r="M1" s="4" t="s">
        <v>137</v>
      </c>
      <c r="N1" s="4" t="s">
        <v>874</v>
      </c>
      <c r="O1" s="4" t="s">
        <v>142</v>
      </c>
      <c r="P1" s="4" t="s">
        <v>143</v>
      </c>
      <c r="Q1" s="4" t="s">
        <v>875</v>
      </c>
    </row>
    <row r="2" customFormat="false" ht="22.35" hidden="false" customHeight="false" outlineLevel="0" collapsed="false">
      <c r="A2" s="9" t="s">
        <v>876</v>
      </c>
      <c r="B2" s="10" t="s">
        <v>34</v>
      </c>
      <c r="C2" s="9" t="s">
        <v>148</v>
      </c>
      <c r="D2" s="9" t="s">
        <v>149</v>
      </c>
      <c r="E2" s="9" t="n">
        <v>7</v>
      </c>
      <c r="F2" s="9"/>
      <c r="G2" s="9" t="s">
        <v>877</v>
      </c>
      <c r="H2" s="9" t="s">
        <v>48</v>
      </c>
      <c r="I2" s="9" t="s">
        <v>878</v>
      </c>
      <c r="J2" s="9" t="s">
        <v>879</v>
      </c>
      <c r="K2" s="9" t="s">
        <v>185</v>
      </c>
      <c r="L2" s="9" t="s">
        <v>154</v>
      </c>
      <c r="M2" s="11"/>
      <c r="N2" s="11" t="s">
        <v>115</v>
      </c>
      <c r="O2" s="11"/>
      <c r="P2" s="11"/>
      <c r="Q2" s="9" t="s">
        <v>115</v>
      </c>
    </row>
    <row r="3" customFormat="false" ht="22.35" hidden="false" customHeight="false" outlineLevel="0" collapsed="false">
      <c r="A3" s="9" t="s">
        <v>880</v>
      </c>
      <c r="B3" s="10" t="s">
        <v>34</v>
      </c>
      <c r="C3" s="9" t="s">
        <v>148</v>
      </c>
      <c r="D3" s="9" t="s">
        <v>149</v>
      </c>
      <c r="E3" s="9" t="n">
        <v>7</v>
      </c>
      <c r="F3" s="9"/>
      <c r="G3" s="9" t="s">
        <v>877</v>
      </c>
      <c r="H3" s="9" t="s">
        <v>49</v>
      </c>
      <c r="I3" s="9" t="s">
        <v>878</v>
      </c>
      <c r="J3" s="9" t="s">
        <v>879</v>
      </c>
      <c r="K3" s="9" t="s">
        <v>185</v>
      </c>
      <c r="L3" s="9" t="s">
        <v>154</v>
      </c>
      <c r="M3" s="11"/>
      <c r="N3" s="11" t="s">
        <v>64</v>
      </c>
      <c r="O3" s="11"/>
      <c r="P3" s="11"/>
      <c r="Q3" s="9" t="s">
        <v>64</v>
      </c>
    </row>
    <row r="4" customFormat="false" ht="64.15" hidden="false" customHeight="false" outlineLevel="0" collapsed="false">
      <c r="A4" s="9" t="s">
        <v>881</v>
      </c>
      <c r="B4" s="10" t="s">
        <v>34</v>
      </c>
      <c r="C4" s="9" t="s">
        <v>148</v>
      </c>
      <c r="D4" s="9" t="s">
        <v>149</v>
      </c>
      <c r="E4" s="9" t="n">
        <v>7</v>
      </c>
      <c r="F4" s="9"/>
      <c r="G4" s="9" t="s">
        <v>877</v>
      </c>
      <c r="H4" s="9" t="s">
        <v>52</v>
      </c>
      <c r="I4" s="9" t="s">
        <v>882</v>
      </c>
      <c r="J4" s="9" t="s">
        <v>883</v>
      </c>
      <c r="K4" s="9" t="s">
        <v>152</v>
      </c>
      <c r="L4" s="9" t="s">
        <v>154</v>
      </c>
      <c r="M4" s="11"/>
      <c r="N4" s="11" t="s">
        <v>67</v>
      </c>
      <c r="O4" s="11"/>
      <c r="P4" s="11"/>
      <c r="Q4" s="9" t="s">
        <v>67</v>
      </c>
    </row>
    <row r="5" customFormat="false" ht="32.8" hidden="false" customHeight="false" outlineLevel="0" collapsed="false">
      <c r="A5" s="9" t="s">
        <v>884</v>
      </c>
      <c r="B5" s="10" t="s">
        <v>34</v>
      </c>
      <c r="C5" s="9" t="s">
        <v>167</v>
      </c>
      <c r="D5" s="9" t="s">
        <v>168</v>
      </c>
      <c r="E5" s="9" t="n">
        <v>10</v>
      </c>
      <c r="F5" s="9"/>
      <c r="G5" s="9" t="s">
        <v>885</v>
      </c>
      <c r="H5" s="9" t="s">
        <v>48</v>
      </c>
      <c r="I5" s="9" t="s">
        <v>886</v>
      </c>
      <c r="J5" s="9" t="s">
        <v>887</v>
      </c>
      <c r="K5" s="9" t="s">
        <v>185</v>
      </c>
      <c r="L5" s="9" t="s">
        <v>154</v>
      </c>
      <c r="M5" s="11"/>
      <c r="N5" s="11" t="s">
        <v>99</v>
      </c>
      <c r="O5" s="11"/>
      <c r="P5" s="11"/>
      <c r="Q5" s="9" t="s">
        <v>99</v>
      </c>
    </row>
    <row r="6" customFormat="false" ht="32.8" hidden="false" customHeight="false" outlineLevel="0" collapsed="false">
      <c r="A6" s="9" t="s">
        <v>888</v>
      </c>
      <c r="B6" s="10" t="s">
        <v>34</v>
      </c>
      <c r="C6" s="9" t="s">
        <v>167</v>
      </c>
      <c r="D6" s="9" t="s">
        <v>168</v>
      </c>
      <c r="E6" s="9" t="n">
        <v>10</v>
      </c>
      <c r="F6" s="9"/>
      <c r="G6" s="9" t="s">
        <v>885</v>
      </c>
      <c r="H6" s="9" t="s">
        <v>49</v>
      </c>
      <c r="I6" s="9" t="s">
        <v>886</v>
      </c>
      <c r="J6" s="9" t="s">
        <v>887</v>
      </c>
      <c r="K6" s="9" t="s">
        <v>185</v>
      </c>
      <c r="L6" s="9" t="s">
        <v>154</v>
      </c>
      <c r="M6" s="11"/>
      <c r="N6" s="11" t="s">
        <v>64</v>
      </c>
      <c r="O6" s="11"/>
      <c r="P6" s="11"/>
      <c r="Q6" s="9" t="s">
        <v>64</v>
      </c>
    </row>
    <row r="7" customFormat="false" ht="32.8" hidden="false" customHeight="false" outlineLevel="0" collapsed="false">
      <c r="A7" s="9" t="s">
        <v>889</v>
      </c>
      <c r="B7" s="10" t="s">
        <v>34</v>
      </c>
      <c r="C7" s="9" t="s">
        <v>167</v>
      </c>
      <c r="D7" s="9" t="s">
        <v>168</v>
      </c>
      <c r="E7" s="9" t="n">
        <v>12</v>
      </c>
      <c r="F7" s="9"/>
      <c r="G7" s="9" t="s">
        <v>885</v>
      </c>
      <c r="H7" s="9" t="s">
        <v>52</v>
      </c>
      <c r="I7" s="9" t="s">
        <v>890</v>
      </c>
      <c r="J7" s="9" t="s">
        <v>891</v>
      </c>
      <c r="K7" s="9" t="s">
        <v>152</v>
      </c>
      <c r="L7" s="9" t="s">
        <v>154</v>
      </c>
      <c r="M7" s="11"/>
      <c r="N7" s="11" t="s">
        <v>67</v>
      </c>
      <c r="O7" s="11"/>
      <c r="P7" s="11"/>
      <c r="Q7" s="9" t="s">
        <v>67</v>
      </c>
    </row>
    <row r="8" customFormat="false" ht="53.7" hidden="false" customHeight="false" outlineLevel="0" collapsed="false">
      <c r="A8" s="9" t="s">
        <v>892</v>
      </c>
      <c r="B8" s="14" t="s">
        <v>40</v>
      </c>
      <c r="C8" s="9" t="s">
        <v>187</v>
      </c>
      <c r="D8" s="9" t="s">
        <v>188</v>
      </c>
      <c r="E8" s="9" t="n">
        <v>4</v>
      </c>
      <c r="F8" s="9"/>
      <c r="G8" s="9" t="s">
        <v>893</v>
      </c>
      <c r="H8" s="9" t="s">
        <v>51</v>
      </c>
      <c r="I8" s="9" t="s">
        <v>894</v>
      </c>
      <c r="J8" s="9" t="s">
        <v>895</v>
      </c>
      <c r="K8" s="9" t="s">
        <v>152</v>
      </c>
      <c r="L8" s="9" t="s">
        <v>154</v>
      </c>
      <c r="M8" s="11"/>
      <c r="N8" s="11" t="s">
        <v>79</v>
      </c>
      <c r="O8" s="11"/>
      <c r="P8" s="11"/>
      <c r="Q8" s="9" t="s">
        <v>79</v>
      </c>
    </row>
    <row r="9" customFormat="false" ht="43.25" hidden="false" customHeight="false" outlineLevel="0" collapsed="false">
      <c r="A9" s="9" t="s">
        <v>896</v>
      </c>
      <c r="B9" s="14" t="s">
        <v>40</v>
      </c>
      <c r="C9" s="9" t="s">
        <v>187</v>
      </c>
      <c r="D9" s="9" t="s">
        <v>188</v>
      </c>
      <c r="E9" s="9" t="n">
        <v>6</v>
      </c>
      <c r="F9" s="9"/>
      <c r="G9" s="9" t="s">
        <v>897</v>
      </c>
      <c r="H9" s="9" t="s">
        <v>51</v>
      </c>
      <c r="I9" s="9" t="s">
        <v>898</v>
      </c>
      <c r="J9" s="9" t="s">
        <v>899</v>
      </c>
      <c r="K9" s="9" t="s">
        <v>152</v>
      </c>
      <c r="L9" s="9" t="s">
        <v>154</v>
      </c>
      <c r="M9" s="11"/>
      <c r="N9" s="11" t="s">
        <v>79</v>
      </c>
      <c r="O9" s="11"/>
      <c r="P9" s="11"/>
      <c r="Q9" s="9" t="s">
        <v>79</v>
      </c>
    </row>
    <row r="10" customFormat="false" ht="22.35" hidden="false" customHeight="false" outlineLevel="0" collapsed="false">
      <c r="A10" s="9" t="s">
        <v>900</v>
      </c>
      <c r="B10" s="10" t="s">
        <v>34</v>
      </c>
      <c r="C10" s="9" t="s">
        <v>215</v>
      </c>
      <c r="D10" s="9" t="s">
        <v>216</v>
      </c>
      <c r="E10" s="9" t="n">
        <v>4</v>
      </c>
      <c r="F10" s="9"/>
      <c r="G10" s="9" t="s">
        <v>901</v>
      </c>
      <c r="H10" s="9" t="s">
        <v>48</v>
      </c>
      <c r="I10" s="9" t="s">
        <v>886</v>
      </c>
      <c r="J10" s="9" t="s">
        <v>902</v>
      </c>
      <c r="K10" s="9" t="s">
        <v>185</v>
      </c>
      <c r="L10" s="9" t="s">
        <v>154</v>
      </c>
      <c r="M10" s="11"/>
      <c r="N10" s="11" t="s">
        <v>106</v>
      </c>
      <c r="O10" s="11"/>
      <c r="P10" s="11"/>
      <c r="Q10" s="9" t="s">
        <v>106</v>
      </c>
    </row>
    <row r="11" customFormat="false" ht="22.35" hidden="false" customHeight="false" outlineLevel="0" collapsed="false">
      <c r="A11" s="9" t="s">
        <v>903</v>
      </c>
      <c r="B11" s="10" t="s">
        <v>34</v>
      </c>
      <c r="C11" s="9" t="s">
        <v>215</v>
      </c>
      <c r="D11" s="9" t="s">
        <v>216</v>
      </c>
      <c r="E11" s="9" t="n">
        <v>4</v>
      </c>
      <c r="F11" s="9"/>
      <c r="G11" s="9" t="s">
        <v>901</v>
      </c>
      <c r="H11" s="9" t="s">
        <v>49</v>
      </c>
      <c r="I11" s="9" t="s">
        <v>886</v>
      </c>
      <c r="J11" s="9" t="s">
        <v>902</v>
      </c>
      <c r="K11" s="9" t="s">
        <v>185</v>
      </c>
      <c r="L11" s="9" t="s">
        <v>154</v>
      </c>
      <c r="M11" s="11"/>
      <c r="N11" s="11" t="s">
        <v>77</v>
      </c>
      <c r="O11" s="11"/>
      <c r="P11" s="11"/>
      <c r="Q11" s="9" t="s">
        <v>77</v>
      </c>
    </row>
    <row r="12" customFormat="false" ht="22.35" hidden="false" customHeight="false" outlineLevel="0" collapsed="false">
      <c r="A12" s="9" t="s">
        <v>904</v>
      </c>
      <c r="B12" s="10" t="s">
        <v>34</v>
      </c>
      <c r="C12" s="9" t="s">
        <v>215</v>
      </c>
      <c r="D12" s="9" t="s">
        <v>216</v>
      </c>
      <c r="E12" s="9" t="n">
        <v>7</v>
      </c>
      <c r="F12" s="9"/>
      <c r="G12" s="9" t="s">
        <v>901</v>
      </c>
      <c r="H12" s="9" t="s">
        <v>48</v>
      </c>
      <c r="I12" s="9" t="s">
        <v>905</v>
      </c>
      <c r="J12" s="9" t="s">
        <v>906</v>
      </c>
      <c r="K12" s="9" t="s">
        <v>185</v>
      </c>
      <c r="L12" s="9" t="s">
        <v>154</v>
      </c>
      <c r="M12" s="11"/>
      <c r="N12" s="11" t="s">
        <v>80</v>
      </c>
      <c r="O12" s="11"/>
      <c r="P12" s="11"/>
      <c r="Q12" s="9" t="s">
        <v>80</v>
      </c>
    </row>
    <row r="13" customFormat="false" ht="22.35" hidden="false" customHeight="false" outlineLevel="0" collapsed="false">
      <c r="A13" s="9" t="s">
        <v>907</v>
      </c>
      <c r="B13" s="10" t="s">
        <v>34</v>
      </c>
      <c r="C13" s="9" t="s">
        <v>215</v>
      </c>
      <c r="D13" s="9" t="s">
        <v>216</v>
      </c>
      <c r="E13" s="9" t="n">
        <v>7</v>
      </c>
      <c r="F13" s="9"/>
      <c r="G13" s="9" t="s">
        <v>901</v>
      </c>
      <c r="H13" s="9" t="s">
        <v>49</v>
      </c>
      <c r="I13" s="9" t="s">
        <v>905</v>
      </c>
      <c r="J13" s="9" t="s">
        <v>906</v>
      </c>
      <c r="K13" s="9" t="s">
        <v>185</v>
      </c>
      <c r="L13" s="9" t="s">
        <v>154</v>
      </c>
      <c r="M13" s="11"/>
      <c r="N13" s="11" t="s">
        <v>64</v>
      </c>
      <c r="O13" s="11"/>
      <c r="P13" s="11"/>
      <c r="Q13" s="9" t="s">
        <v>64</v>
      </c>
    </row>
    <row r="14" customFormat="false" ht="32.8" hidden="false" customHeight="false" outlineLevel="0" collapsed="false">
      <c r="A14" s="9" t="s">
        <v>908</v>
      </c>
      <c r="B14" s="10" t="s">
        <v>34</v>
      </c>
      <c r="C14" s="9" t="s">
        <v>215</v>
      </c>
      <c r="D14" s="9" t="s">
        <v>216</v>
      </c>
      <c r="E14" s="9" t="n">
        <v>11</v>
      </c>
      <c r="F14" s="9"/>
      <c r="G14" s="9" t="s">
        <v>901</v>
      </c>
      <c r="H14" s="9" t="s">
        <v>50</v>
      </c>
      <c r="I14" s="9" t="s">
        <v>909</v>
      </c>
      <c r="J14" s="9" t="s">
        <v>910</v>
      </c>
      <c r="K14" s="9" t="s">
        <v>152</v>
      </c>
      <c r="L14" s="9" t="s">
        <v>154</v>
      </c>
      <c r="M14" s="11"/>
      <c r="N14" s="11" t="s">
        <v>107</v>
      </c>
      <c r="O14" s="11"/>
      <c r="P14" s="11"/>
      <c r="Q14" s="9" t="s">
        <v>107</v>
      </c>
    </row>
    <row r="15" customFormat="false" ht="22.35" hidden="false" customHeight="false" outlineLevel="0" collapsed="false">
      <c r="A15" s="9" t="s">
        <v>911</v>
      </c>
      <c r="B15" s="10" t="s">
        <v>34</v>
      </c>
      <c r="C15" s="9" t="s">
        <v>215</v>
      </c>
      <c r="D15" s="9" t="s">
        <v>216</v>
      </c>
      <c r="E15" s="9" t="n">
        <v>11</v>
      </c>
      <c r="F15" s="9"/>
      <c r="G15" s="9" t="s">
        <v>912</v>
      </c>
      <c r="H15" s="9" t="s">
        <v>50</v>
      </c>
      <c r="I15" s="9" t="s">
        <v>909</v>
      </c>
      <c r="J15" s="9" t="s">
        <v>913</v>
      </c>
      <c r="K15" s="9" t="s">
        <v>152</v>
      </c>
      <c r="L15" s="9" t="s">
        <v>154</v>
      </c>
      <c r="M15" s="11"/>
      <c r="N15" s="11" t="s">
        <v>107</v>
      </c>
      <c r="O15" s="11"/>
      <c r="P15" s="11"/>
      <c r="Q15" s="9" t="s">
        <v>107</v>
      </c>
    </row>
    <row r="16" customFormat="false" ht="22.35" hidden="false" customHeight="false" outlineLevel="0" collapsed="false">
      <c r="A16" s="9" t="s">
        <v>914</v>
      </c>
      <c r="B16" s="10" t="s">
        <v>34</v>
      </c>
      <c r="C16" s="9" t="s">
        <v>215</v>
      </c>
      <c r="D16" s="9" t="s">
        <v>216</v>
      </c>
      <c r="E16" s="9" t="n">
        <v>11</v>
      </c>
      <c r="F16" s="9"/>
      <c r="G16" s="9" t="s">
        <v>915</v>
      </c>
      <c r="H16" s="9" t="s">
        <v>50</v>
      </c>
      <c r="I16" s="9" t="s">
        <v>909</v>
      </c>
      <c r="J16" s="9" t="s">
        <v>913</v>
      </c>
      <c r="K16" s="9" t="s">
        <v>152</v>
      </c>
      <c r="L16" s="9" t="s">
        <v>154</v>
      </c>
      <c r="M16" s="11"/>
      <c r="N16" s="11" t="s">
        <v>107</v>
      </c>
      <c r="O16" s="11"/>
      <c r="P16" s="11"/>
      <c r="Q16" s="9" t="s">
        <v>107</v>
      </c>
    </row>
    <row r="17" customFormat="false" ht="32.8" hidden="false" customHeight="false" outlineLevel="0" collapsed="false">
      <c r="A17" s="9" t="s">
        <v>916</v>
      </c>
      <c r="B17" s="10" t="s">
        <v>34</v>
      </c>
      <c r="C17" s="9" t="s">
        <v>215</v>
      </c>
      <c r="D17" s="9" t="s">
        <v>216</v>
      </c>
      <c r="E17" s="9" t="n">
        <v>11</v>
      </c>
      <c r="F17" s="9"/>
      <c r="G17" s="9" t="s">
        <v>917</v>
      </c>
      <c r="H17" s="9" t="s">
        <v>50</v>
      </c>
      <c r="I17" s="9" t="s">
        <v>909</v>
      </c>
      <c r="J17" s="9" t="s">
        <v>913</v>
      </c>
      <c r="K17" s="9" t="s">
        <v>152</v>
      </c>
      <c r="L17" s="9" t="s">
        <v>154</v>
      </c>
      <c r="M17" s="11"/>
      <c r="N17" s="11" t="s">
        <v>107</v>
      </c>
      <c r="O17" s="11"/>
      <c r="P17" s="11"/>
      <c r="Q17" s="9" t="s">
        <v>107</v>
      </c>
    </row>
    <row r="18" customFormat="false" ht="22.35" hidden="false" customHeight="false" outlineLevel="0" collapsed="false">
      <c r="A18" s="9" t="s">
        <v>918</v>
      </c>
      <c r="B18" s="10" t="s">
        <v>34</v>
      </c>
      <c r="C18" s="9" t="s">
        <v>215</v>
      </c>
      <c r="D18" s="9" t="s">
        <v>216</v>
      </c>
      <c r="E18" s="9" t="n">
        <v>12</v>
      </c>
      <c r="F18" s="9"/>
      <c r="G18" s="9" t="s">
        <v>912</v>
      </c>
      <c r="H18" s="9" t="s">
        <v>51</v>
      </c>
      <c r="I18" s="9" t="s">
        <v>919</v>
      </c>
      <c r="J18" s="9" t="s">
        <v>920</v>
      </c>
      <c r="K18" s="9" t="s">
        <v>185</v>
      </c>
      <c r="L18" s="9" t="s">
        <v>154</v>
      </c>
      <c r="M18" s="11"/>
      <c r="N18" s="11" t="s">
        <v>79</v>
      </c>
      <c r="O18" s="11"/>
      <c r="P18" s="11"/>
      <c r="Q18" s="9" t="s">
        <v>79</v>
      </c>
    </row>
    <row r="19" customFormat="false" ht="22.35" hidden="false" customHeight="false" outlineLevel="0" collapsed="false">
      <c r="A19" s="9" t="s">
        <v>921</v>
      </c>
      <c r="B19" s="10" t="s">
        <v>34</v>
      </c>
      <c r="C19" s="9" t="s">
        <v>215</v>
      </c>
      <c r="D19" s="9" t="s">
        <v>216</v>
      </c>
      <c r="E19" s="9" t="n">
        <v>12</v>
      </c>
      <c r="F19" s="9"/>
      <c r="G19" s="9" t="s">
        <v>915</v>
      </c>
      <c r="H19" s="9" t="s">
        <v>51</v>
      </c>
      <c r="I19" s="9" t="s">
        <v>922</v>
      </c>
      <c r="J19" s="9" t="s">
        <v>920</v>
      </c>
      <c r="K19" s="9" t="s">
        <v>185</v>
      </c>
      <c r="L19" s="9" t="s">
        <v>154</v>
      </c>
      <c r="M19" s="11"/>
      <c r="N19" s="11" t="s">
        <v>79</v>
      </c>
      <c r="O19" s="11"/>
      <c r="P19" s="11"/>
      <c r="Q19" s="9" t="s">
        <v>79</v>
      </c>
    </row>
    <row r="20" customFormat="false" ht="32.8" hidden="false" customHeight="false" outlineLevel="0" collapsed="false">
      <c r="A20" s="9" t="s">
        <v>923</v>
      </c>
      <c r="B20" s="10" t="s">
        <v>34</v>
      </c>
      <c r="C20" s="9" t="s">
        <v>215</v>
      </c>
      <c r="D20" s="9" t="s">
        <v>216</v>
      </c>
      <c r="E20" s="9" t="n">
        <v>12</v>
      </c>
      <c r="F20" s="9"/>
      <c r="G20" s="9" t="s">
        <v>917</v>
      </c>
      <c r="H20" s="9" t="s">
        <v>51</v>
      </c>
      <c r="I20" s="9" t="s">
        <v>922</v>
      </c>
      <c r="J20" s="9" t="s">
        <v>920</v>
      </c>
      <c r="K20" s="9" t="s">
        <v>185</v>
      </c>
      <c r="L20" s="9" t="s">
        <v>154</v>
      </c>
      <c r="M20" s="11"/>
      <c r="N20" s="11" t="s">
        <v>79</v>
      </c>
      <c r="O20" s="11"/>
      <c r="P20" s="11"/>
      <c r="Q20" s="9" t="s">
        <v>79</v>
      </c>
    </row>
    <row r="21" customFormat="false" ht="22.35" hidden="false" customHeight="false" outlineLevel="0" collapsed="false">
      <c r="A21" s="9" t="s">
        <v>924</v>
      </c>
      <c r="B21" s="10" t="s">
        <v>34</v>
      </c>
      <c r="C21" s="9" t="s">
        <v>215</v>
      </c>
      <c r="D21" s="9" t="s">
        <v>216</v>
      </c>
      <c r="E21" s="9" t="n">
        <v>12</v>
      </c>
      <c r="F21" s="9"/>
      <c r="G21" s="9" t="s">
        <v>925</v>
      </c>
      <c r="H21" s="9" t="s">
        <v>53</v>
      </c>
      <c r="I21" s="9" t="s">
        <v>926</v>
      </c>
      <c r="J21" s="9" t="s">
        <v>927</v>
      </c>
      <c r="K21" s="9" t="s">
        <v>152</v>
      </c>
      <c r="L21" s="9" t="s">
        <v>154</v>
      </c>
      <c r="M21" s="11"/>
      <c r="N21" s="11" t="s">
        <v>68</v>
      </c>
      <c r="O21" s="11"/>
      <c r="P21" s="11"/>
      <c r="Q21" s="9" t="s">
        <v>68</v>
      </c>
    </row>
    <row r="22" customFormat="false" ht="32.8" hidden="false" customHeight="false" outlineLevel="0" collapsed="false">
      <c r="A22" s="9" t="s">
        <v>928</v>
      </c>
      <c r="B22" s="14" t="s">
        <v>40</v>
      </c>
      <c r="C22" s="9" t="s">
        <v>231</v>
      </c>
      <c r="D22" s="9" t="s">
        <v>232</v>
      </c>
      <c r="E22" s="9" t="n">
        <v>5</v>
      </c>
      <c r="F22" s="9"/>
      <c r="G22" s="9" t="s">
        <v>929</v>
      </c>
      <c r="H22" s="9" t="s">
        <v>50</v>
      </c>
      <c r="I22" s="9" t="s">
        <v>909</v>
      </c>
      <c r="J22" s="9" t="s">
        <v>930</v>
      </c>
      <c r="K22" s="9" t="s">
        <v>152</v>
      </c>
      <c r="L22" s="9" t="s">
        <v>154</v>
      </c>
      <c r="M22" s="11"/>
      <c r="N22" s="11" t="s">
        <v>107</v>
      </c>
      <c r="O22" s="11"/>
      <c r="P22" s="11"/>
      <c r="Q22" s="9" t="s">
        <v>107</v>
      </c>
    </row>
    <row r="23" customFormat="false" ht="32.8" hidden="false" customHeight="false" outlineLevel="0" collapsed="false">
      <c r="A23" s="9" t="s">
        <v>931</v>
      </c>
      <c r="B23" s="14" t="s">
        <v>40</v>
      </c>
      <c r="C23" s="9" t="s">
        <v>231</v>
      </c>
      <c r="D23" s="9" t="s">
        <v>232</v>
      </c>
      <c r="E23" s="9" t="n">
        <v>5</v>
      </c>
      <c r="F23" s="9"/>
      <c r="G23" s="9" t="s">
        <v>932</v>
      </c>
      <c r="H23" s="9" t="s">
        <v>50</v>
      </c>
      <c r="I23" s="9" t="s">
        <v>909</v>
      </c>
      <c r="J23" s="9" t="s">
        <v>930</v>
      </c>
      <c r="K23" s="9" t="s">
        <v>152</v>
      </c>
      <c r="L23" s="9" t="s">
        <v>154</v>
      </c>
      <c r="M23" s="11"/>
      <c r="N23" s="11" t="s">
        <v>107</v>
      </c>
      <c r="O23" s="11"/>
      <c r="P23" s="11"/>
      <c r="Q23" s="9" t="s">
        <v>107</v>
      </c>
    </row>
    <row r="24" customFormat="false" ht="32.8" hidden="false" customHeight="false" outlineLevel="0" collapsed="false">
      <c r="A24" s="9" t="s">
        <v>933</v>
      </c>
      <c r="B24" s="14" t="s">
        <v>40</v>
      </c>
      <c r="C24" s="9" t="s">
        <v>231</v>
      </c>
      <c r="D24" s="9" t="s">
        <v>232</v>
      </c>
      <c r="E24" s="9" t="n">
        <v>5</v>
      </c>
      <c r="F24" s="9"/>
      <c r="G24" s="9" t="s">
        <v>934</v>
      </c>
      <c r="H24" s="9" t="s">
        <v>50</v>
      </c>
      <c r="I24" s="9" t="s">
        <v>909</v>
      </c>
      <c r="J24" s="9" t="s">
        <v>930</v>
      </c>
      <c r="K24" s="9" t="s">
        <v>152</v>
      </c>
      <c r="L24" s="9" t="s">
        <v>154</v>
      </c>
      <c r="M24" s="11"/>
      <c r="N24" s="11" t="s">
        <v>107</v>
      </c>
      <c r="O24" s="11"/>
      <c r="P24" s="11"/>
      <c r="Q24" s="9" t="s">
        <v>107</v>
      </c>
    </row>
    <row r="25" customFormat="false" ht="32.8" hidden="false" customHeight="false" outlineLevel="0" collapsed="false">
      <c r="A25" s="9" t="s">
        <v>935</v>
      </c>
      <c r="B25" s="14" t="s">
        <v>40</v>
      </c>
      <c r="C25" s="9" t="s">
        <v>231</v>
      </c>
      <c r="D25" s="9" t="s">
        <v>232</v>
      </c>
      <c r="E25" s="9" t="n">
        <v>5</v>
      </c>
      <c r="F25" s="9"/>
      <c r="G25" s="9" t="s">
        <v>936</v>
      </c>
      <c r="H25" s="9" t="s">
        <v>50</v>
      </c>
      <c r="I25" s="9" t="s">
        <v>909</v>
      </c>
      <c r="J25" s="9" t="s">
        <v>930</v>
      </c>
      <c r="K25" s="9" t="s">
        <v>152</v>
      </c>
      <c r="L25" s="9" t="s">
        <v>154</v>
      </c>
      <c r="M25" s="11"/>
      <c r="N25" s="11" t="s">
        <v>107</v>
      </c>
      <c r="O25" s="11"/>
      <c r="P25" s="11"/>
      <c r="Q25" s="9" t="s">
        <v>107</v>
      </c>
    </row>
    <row r="26" customFormat="false" ht="32.8" hidden="false" customHeight="false" outlineLevel="0" collapsed="false">
      <c r="A26" s="9" t="s">
        <v>937</v>
      </c>
      <c r="B26" s="14" t="s">
        <v>40</v>
      </c>
      <c r="C26" s="9" t="s">
        <v>231</v>
      </c>
      <c r="D26" s="9" t="s">
        <v>232</v>
      </c>
      <c r="E26" s="9" t="n">
        <v>5</v>
      </c>
      <c r="F26" s="9"/>
      <c r="G26" s="9" t="s">
        <v>938</v>
      </c>
      <c r="H26" s="9" t="s">
        <v>50</v>
      </c>
      <c r="I26" s="9" t="s">
        <v>909</v>
      </c>
      <c r="J26" s="9" t="s">
        <v>930</v>
      </c>
      <c r="K26" s="9" t="s">
        <v>152</v>
      </c>
      <c r="L26" s="9" t="s">
        <v>154</v>
      </c>
      <c r="M26" s="11"/>
      <c r="N26" s="11" t="s">
        <v>107</v>
      </c>
      <c r="O26" s="11"/>
      <c r="P26" s="11"/>
      <c r="Q26" s="9" t="s">
        <v>107</v>
      </c>
    </row>
    <row r="27" customFormat="false" ht="32.8" hidden="false" customHeight="false" outlineLevel="0" collapsed="false">
      <c r="A27" s="9" t="s">
        <v>939</v>
      </c>
      <c r="B27" s="14" t="s">
        <v>40</v>
      </c>
      <c r="C27" s="9" t="s">
        <v>231</v>
      </c>
      <c r="D27" s="9" t="s">
        <v>232</v>
      </c>
      <c r="E27" s="9" t="n">
        <v>5</v>
      </c>
      <c r="F27" s="9"/>
      <c r="G27" s="9" t="s">
        <v>940</v>
      </c>
      <c r="H27" s="9" t="s">
        <v>50</v>
      </c>
      <c r="I27" s="9" t="s">
        <v>909</v>
      </c>
      <c r="J27" s="9" t="s">
        <v>930</v>
      </c>
      <c r="K27" s="9" t="s">
        <v>152</v>
      </c>
      <c r="L27" s="9" t="s">
        <v>154</v>
      </c>
      <c r="M27" s="11"/>
      <c r="N27" s="11" t="s">
        <v>107</v>
      </c>
      <c r="O27" s="11"/>
      <c r="P27" s="11"/>
      <c r="Q27" s="9" t="s">
        <v>107</v>
      </c>
    </row>
    <row r="28" customFormat="false" ht="32.8" hidden="false" customHeight="false" outlineLevel="0" collapsed="false">
      <c r="A28" s="9" t="s">
        <v>941</v>
      </c>
      <c r="B28" s="10" t="s">
        <v>34</v>
      </c>
      <c r="C28" s="9" t="s">
        <v>244</v>
      </c>
      <c r="D28" s="9" t="s">
        <v>245</v>
      </c>
      <c r="E28" s="9" t="n">
        <v>11</v>
      </c>
      <c r="F28" s="9"/>
      <c r="G28" s="9" t="s">
        <v>942</v>
      </c>
      <c r="H28" s="9" t="s">
        <v>52</v>
      </c>
      <c r="I28" s="9" t="s">
        <v>943</v>
      </c>
      <c r="J28" s="9" t="s">
        <v>944</v>
      </c>
      <c r="K28" s="9" t="s">
        <v>152</v>
      </c>
      <c r="L28" s="9" t="s">
        <v>154</v>
      </c>
      <c r="M28" s="11"/>
      <c r="N28" s="11" t="s">
        <v>67</v>
      </c>
      <c r="O28" s="11"/>
      <c r="P28" s="11"/>
      <c r="Q28" s="9" t="s">
        <v>67</v>
      </c>
    </row>
    <row r="29" customFormat="false" ht="32.8" hidden="false" customHeight="false" outlineLevel="0" collapsed="false">
      <c r="A29" s="9" t="s">
        <v>945</v>
      </c>
      <c r="B29" s="10" t="s">
        <v>34</v>
      </c>
      <c r="C29" s="9" t="s">
        <v>244</v>
      </c>
      <c r="D29" s="9" t="s">
        <v>245</v>
      </c>
      <c r="E29" s="9" t="n">
        <v>11</v>
      </c>
      <c r="F29" s="9"/>
      <c r="G29" s="9" t="s">
        <v>946</v>
      </c>
      <c r="H29" s="9" t="s">
        <v>52</v>
      </c>
      <c r="I29" s="9" t="s">
        <v>947</v>
      </c>
      <c r="J29" s="9" t="s">
        <v>948</v>
      </c>
      <c r="K29" s="9" t="s">
        <v>152</v>
      </c>
      <c r="L29" s="9" t="s">
        <v>154</v>
      </c>
      <c r="M29" s="11"/>
      <c r="N29" s="11" t="s">
        <v>67</v>
      </c>
      <c r="O29" s="11"/>
      <c r="P29" s="11"/>
      <c r="Q29" s="9" t="s">
        <v>67</v>
      </c>
    </row>
    <row r="30" customFormat="false" ht="32.8" hidden="false" customHeight="false" outlineLevel="0" collapsed="false">
      <c r="A30" s="9" t="s">
        <v>949</v>
      </c>
      <c r="B30" s="10" t="s">
        <v>34</v>
      </c>
      <c r="C30" s="9" t="s">
        <v>244</v>
      </c>
      <c r="D30" s="9" t="s">
        <v>245</v>
      </c>
      <c r="E30" s="9" t="n">
        <v>11</v>
      </c>
      <c r="F30" s="9"/>
      <c r="G30" s="9" t="s">
        <v>950</v>
      </c>
      <c r="H30" s="9" t="s">
        <v>52</v>
      </c>
      <c r="I30" s="9" t="s">
        <v>951</v>
      </c>
      <c r="J30" s="9" t="s">
        <v>952</v>
      </c>
      <c r="K30" s="9" t="s">
        <v>152</v>
      </c>
      <c r="L30" s="9" t="s">
        <v>154</v>
      </c>
      <c r="M30" s="11"/>
      <c r="N30" s="11" t="s">
        <v>67</v>
      </c>
      <c r="O30" s="11"/>
      <c r="P30" s="11"/>
      <c r="Q30" s="9" t="s">
        <v>67</v>
      </c>
    </row>
    <row r="31" customFormat="false" ht="43.25" hidden="false" customHeight="false" outlineLevel="0" collapsed="false">
      <c r="A31" s="9" t="s">
        <v>953</v>
      </c>
      <c r="B31" s="10" t="s">
        <v>34</v>
      </c>
      <c r="C31" s="9" t="s">
        <v>244</v>
      </c>
      <c r="D31" s="9" t="s">
        <v>245</v>
      </c>
      <c r="E31" s="9" t="n">
        <v>11</v>
      </c>
      <c r="F31" s="9"/>
      <c r="G31" s="9" t="s">
        <v>954</v>
      </c>
      <c r="H31" s="9" t="s">
        <v>52</v>
      </c>
      <c r="I31" s="9" t="s">
        <v>955</v>
      </c>
      <c r="J31" s="9" t="s">
        <v>956</v>
      </c>
      <c r="K31" s="9" t="s">
        <v>152</v>
      </c>
      <c r="L31" s="9" t="s">
        <v>154</v>
      </c>
      <c r="M31" s="11"/>
      <c r="N31" s="11" t="s">
        <v>67</v>
      </c>
      <c r="O31" s="11"/>
      <c r="P31" s="11"/>
      <c r="Q31" s="9" t="s">
        <v>67</v>
      </c>
    </row>
    <row r="32" customFormat="false" ht="32.8" hidden="false" customHeight="false" outlineLevel="0" collapsed="false">
      <c r="A32" s="9" t="s">
        <v>957</v>
      </c>
      <c r="B32" s="10" t="s">
        <v>34</v>
      </c>
      <c r="C32" s="9" t="s">
        <v>244</v>
      </c>
      <c r="D32" s="9" t="s">
        <v>245</v>
      </c>
      <c r="E32" s="9" t="n">
        <v>11</v>
      </c>
      <c r="F32" s="9"/>
      <c r="G32" s="9" t="s">
        <v>958</v>
      </c>
      <c r="H32" s="9" t="s">
        <v>52</v>
      </c>
      <c r="I32" s="9" t="s">
        <v>959</v>
      </c>
      <c r="J32" s="9" t="s">
        <v>960</v>
      </c>
      <c r="K32" s="9" t="s">
        <v>152</v>
      </c>
      <c r="L32" s="9" t="s">
        <v>154</v>
      </c>
      <c r="M32" s="11"/>
      <c r="N32" s="11" t="s">
        <v>67</v>
      </c>
      <c r="O32" s="11"/>
      <c r="P32" s="11"/>
      <c r="Q32" s="9" t="s">
        <v>67</v>
      </c>
    </row>
    <row r="33" customFormat="false" ht="32.8" hidden="false" customHeight="false" outlineLevel="0" collapsed="false">
      <c r="A33" s="9" t="s">
        <v>961</v>
      </c>
      <c r="B33" s="10" t="s">
        <v>34</v>
      </c>
      <c r="C33" s="9" t="s">
        <v>244</v>
      </c>
      <c r="D33" s="9" t="s">
        <v>245</v>
      </c>
      <c r="E33" s="9" t="n">
        <v>11</v>
      </c>
      <c r="F33" s="9"/>
      <c r="G33" s="9" t="s">
        <v>962</v>
      </c>
      <c r="H33" s="9" t="s">
        <v>52</v>
      </c>
      <c r="I33" s="9" t="s">
        <v>963</v>
      </c>
      <c r="J33" s="9" t="s">
        <v>964</v>
      </c>
      <c r="K33" s="9" t="s">
        <v>152</v>
      </c>
      <c r="L33" s="9" t="s">
        <v>154</v>
      </c>
      <c r="M33" s="11"/>
      <c r="N33" s="11" t="s">
        <v>67</v>
      </c>
      <c r="O33" s="11"/>
      <c r="P33" s="11"/>
      <c r="Q33" s="9" t="s">
        <v>67</v>
      </c>
    </row>
    <row r="34" customFormat="false" ht="22.35" hidden="false" customHeight="false" outlineLevel="0" collapsed="false">
      <c r="A34" s="9" t="s">
        <v>965</v>
      </c>
      <c r="B34" s="10" t="s">
        <v>34</v>
      </c>
      <c r="C34" s="9" t="s">
        <v>272</v>
      </c>
      <c r="D34" s="9" t="s">
        <v>273</v>
      </c>
      <c r="E34" s="9" t="n">
        <v>3</v>
      </c>
      <c r="F34" s="9"/>
      <c r="G34" s="9" t="s">
        <v>966</v>
      </c>
      <c r="H34" s="9" t="s">
        <v>48</v>
      </c>
      <c r="I34" s="9" t="s">
        <v>886</v>
      </c>
      <c r="J34" s="9" t="s">
        <v>967</v>
      </c>
      <c r="K34" s="9" t="s">
        <v>185</v>
      </c>
      <c r="L34" s="9" t="s">
        <v>154</v>
      </c>
      <c r="M34" s="11"/>
      <c r="N34" s="11" t="s">
        <v>63</v>
      </c>
      <c r="O34" s="11"/>
      <c r="P34" s="11"/>
      <c r="Q34" s="9" t="s">
        <v>63</v>
      </c>
    </row>
    <row r="35" customFormat="false" ht="22.35" hidden="false" customHeight="false" outlineLevel="0" collapsed="false">
      <c r="A35" s="9" t="s">
        <v>968</v>
      </c>
      <c r="B35" s="10" t="s">
        <v>34</v>
      </c>
      <c r="C35" s="9" t="s">
        <v>272</v>
      </c>
      <c r="D35" s="9" t="s">
        <v>273</v>
      </c>
      <c r="E35" s="9" t="n">
        <v>3</v>
      </c>
      <c r="F35" s="9"/>
      <c r="G35" s="9" t="s">
        <v>966</v>
      </c>
      <c r="H35" s="9" t="s">
        <v>49</v>
      </c>
      <c r="I35" s="9" t="s">
        <v>886</v>
      </c>
      <c r="J35" s="9" t="s">
        <v>967</v>
      </c>
      <c r="K35" s="9" t="s">
        <v>185</v>
      </c>
      <c r="L35" s="9" t="s">
        <v>154</v>
      </c>
      <c r="M35" s="11"/>
      <c r="N35" s="11" t="s">
        <v>64</v>
      </c>
      <c r="O35" s="11"/>
      <c r="P35" s="11"/>
      <c r="Q35" s="9" t="s">
        <v>64</v>
      </c>
    </row>
    <row r="36" customFormat="false" ht="22.35" hidden="false" customHeight="false" outlineLevel="0" collapsed="false">
      <c r="A36" s="9" t="s">
        <v>969</v>
      </c>
      <c r="B36" s="10" t="s">
        <v>34</v>
      </c>
      <c r="C36" s="9" t="s">
        <v>272</v>
      </c>
      <c r="D36" s="9" t="s">
        <v>273</v>
      </c>
      <c r="E36" s="9" t="n">
        <v>3</v>
      </c>
      <c r="F36" s="9"/>
      <c r="G36" s="9" t="s">
        <v>966</v>
      </c>
      <c r="H36" s="9" t="s">
        <v>48</v>
      </c>
      <c r="I36" s="9" t="s">
        <v>878</v>
      </c>
      <c r="J36" s="9" t="s">
        <v>967</v>
      </c>
      <c r="K36" s="9" t="s">
        <v>185</v>
      </c>
      <c r="L36" s="9" t="s">
        <v>154</v>
      </c>
      <c r="M36" s="11"/>
      <c r="N36" s="11" t="s">
        <v>63</v>
      </c>
      <c r="O36" s="11"/>
      <c r="P36" s="11"/>
      <c r="Q36" s="9" t="s">
        <v>63</v>
      </c>
    </row>
    <row r="37" customFormat="false" ht="22.35" hidden="false" customHeight="false" outlineLevel="0" collapsed="false">
      <c r="A37" s="9" t="s">
        <v>970</v>
      </c>
      <c r="B37" s="10" t="s">
        <v>34</v>
      </c>
      <c r="C37" s="9" t="s">
        <v>272</v>
      </c>
      <c r="D37" s="9" t="s">
        <v>273</v>
      </c>
      <c r="E37" s="9" t="n">
        <v>3</v>
      </c>
      <c r="F37" s="9"/>
      <c r="G37" s="9" t="s">
        <v>966</v>
      </c>
      <c r="H37" s="9" t="s">
        <v>49</v>
      </c>
      <c r="I37" s="9" t="s">
        <v>878</v>
      </c>
      <c r="J37" s="9" t="s">
        <v>967</v>
      </c>
      <c r="K37" s="9" t="s">
        <v>185</v>
      </c>
      <c r="L37" s="9" t="s">
        <v>154</v>
      </c>
      <c r="M37" s="11"/>
      <c r="N37" s="11" t="s">
        <v>64</v>
      </c>
      <c r="O37" s="11"/>
      <c r="P37" s="11"/>
      <c r="Q37" s="9" t="s">
        <v>64</v>
      </c>
    </row>
    <row r="38" customFormat="false" ht="22.35" hidden="false" customHeight="false" outlineLevel="0" collapsed="false">
      <c r="A38" s="9" t="s">
        <v>971</v>
      </c>
      <c r="B38" s="10" t="s">
        <v>34</v>
      </c>
      <c r="C38" s="9" t="s">
        <v>272</v>
      </c>
      <c r="D38" s="9" t="s">
        <v>273</v>
      </c>
      <c r="E38" s="9" t="n">
        <v>3</v>
      </c>
      <c r="F38" s="9"/>
      <c r="G38" s="9" t="s">
        <v>972</v>
      </c>
      <c r="H38" s="9" t="s">
        <v>48</v>
      </c>
      <c r="I38" s="9" t="s">
        <v>886</v>
      </c>
      <c r="J38" s="9" t="s">
        <v>967</v>
      </c>
      <c r="K38" s="9" t="s">
        <v>185</v>
      </c>
      <c r="L38" s="9" t="s">
        <v>154</v>
      </c>
      <c r="M38" s="11"/>
      <c r="N38" s="11" t="s">
        <v>63</v>
      </c>
      <c r="O38" s="11"/>
      <c r="P38" s="11"/>
      <c r="Q38" s="9" t="s">
        <v>63</v>
      </c>
    </row>
    <row r="39" customFormat="false" ht="22.35" hidden="false" customHeight="false" outlineLevel="0" collapsed="false">
      <c r="A39" s="9" t="s">
        <v>973</v>
      </c>
      <c r="B39" s="10" t="s">
        <v>34</v>
      </c>
      <c r="C39" s="9" t="s">
        <v>272</v>
      </c>
      <c r="D39" s="9" t="s">
        <v>273</v>
      </c>
      <c r="E39" s="9" t="n">
        <v>3</v>
      </c>
      <c r="F39" s="9"/>
      <c r="G39" s="9" t="s">
        <v>972</v>
      </c>
      <c r="H39" s="9" t="s">
        <v>49</v>
      </c>
      <c r="I39" s="9" t="s">
        <v>886</v>
      </c>
      <c r="J39" s="9" t="s">
        <v>967</v>
      </c>
      <c r="K39" s="9" t="s">
        <v>185</v>
      </c>
      <c r="L39" s="9" t="s">
        <v>154</v>
      </c>
      <c r="M39" s="11"/>
      <c r="N39" s="11" t="s">
        <v>64</v>
      </c>
      <c r="O39" s="11"/>
      <c r="P39" s="11"/>
      <c r="Q39" s="9" t="s">
        <v>64</v>
      </c>
    </row>
    <row r="40" customFormat="false" ht="22.35" hidden="false" customHeight="false" outlineLevel="0" collapsed="false">
      <c r="A40" s="9" t="s">
        <v>974</v>
      </c>
      <c r="B40" s="10" t="s">
        <v>34</v>
      </c>
      <c r="C40" s="9" t="s">
        <v>272</v>
      </c>
      <c r="D40" s="9" t="s">
        <v>273</v>
      </c>
      <c r="E40" s="9" t="n">
        <v>3</v>
      </c>
      <c r="F40" s="9"/>
      <c r="G40" s="9" t="s">
        <v>972</v>
      </c>
      <c r="H40" s="9" t="s">
        <v>48</v>
      </c>
      <c r="I40" s="9" t="s">
        <v>878</v>
      </c>
      <c r="J40" s="9" t="s">
        <v>967</v>
      </c>
      <c r="K40" s="9" t="s">
        <v>185</v>
      </c>
      <c r="L40" s="9" t="s">
        <v>154</v>
      </c>
      <c r="M40" s="11"/>
      <c r="N40" s="11" t="s">
        <v>63</v>
      </c>
      <c r="O40" s="11"/>
      <c r="P40" s="11"/>
      <c r="Q40" s="9" t="s">
        <v>63</v>
      </c>
    </row>
    <row r="41" customFormat="false" ht="22.35" hidden="false" customHeight="false" outlineLevel="0" collapsed="false">
      <c r="A41" s="9" t="s">
        <v>975</v>
      </c>
      <c r="B41" s="10" t="s">
        <v>34</v>
      </c>
      <c r="C41" s="9" t="s">
        <v>272</v>
      </c>
      <c r="D41" s="9" t="s">
        <v>273</v>
      </c>
      <c r="E41" s="9" t="n">
        <v>3</v>
      </c>
      <c r="F41" s="9"/>
      <c r="G41" s="9" t="s">
        <v>972</v>
      </c>
      <c r="H41" s="9" t="s">
        <v>49</v>
      </c>
      <c r="I41" s="9" t="s">
        <v>878</v>
      </c>
      <c r="J41" s="9" t="s">
        <v>967</v>
      </c>
      <c r="K41" s="9" t="s">
        <v>185</v>
      </c>
      <c r="L41" s="9" t="s">
        <v>154</v>
      </c>
      <c r="M41" s="11"/>
      <c r="N41" s="11" t="s">
        <v>64</v>
      </c>
      <c r="O41" s="11"/>
      <c r="P41" s="11"/>
      <c r="Q41" s="9" t="s">
        <v>64</v>
      </c>
    </row>
    <row r="42" customFormat="false" ht="22.35" hidden="false" customHeight="false" outlineLevel="0" collapsed="false">
      <c r="A42" s="9" t="s">
        <v>976</v>
      </c>
      <c r="B42" s="10" t="s">
        <v>34</v>
      </c>
      <c r="C42" s="9" t="s">
        <v>272</v>
      </c>
      <c r="D42" s="9" t="s">
        <v>273</v>
      </c>
      <c r="E42" s="9" t="n">
        <v>3</v>
      </c>
      <c r="F42" s="9"/>
      <c r="G42" s="9" t="s">
        <v>977</v>
      </c>
      <c r="H42" s="9" t="s">
        <v>48</v>
      </c>
      <c r="I42" s="9" t="s">
        <v>886</v>
      </c>
      <c r="J42" s="9" t="s">
        <v>967</v>
      </c>
      <c r="K42" s="9" t="s">
        <v>185</v>
      </c>
      <c r="L42" s="9" t="s">
        <v>154</v>
      </c>
      <c r="M42" s="11"/>
      <c r="N42" s="11" t="s">
        <v>63</v>
      </c>
      <c r="O42" s="11"/>
      <c r="P42" s="11"/>
      <c r="Q42" s="9" t="s">
        <v>63</v>
      </c>
    </row>
    <row r="43" customFormat="false" ht="22.35" hidden="false" customHeight="false" outlineLevel="0" collapsed="false">
      <c r="A43" s="9" t="s">
        <v>978</v>
      </c>
      <c r="B43" s="10" t="s">
        <v>34</v>
      </c>
      <c r="C43" s="9" t="s">
        <v>272</v>
      </c>
      <c r="D43" s="9" t="s">
        <v>273</v>
      </c>
      <c r="E43" s="9" t="n">
        <v>3</v>
      </c>
      <c r="F43" s="9"/>
      <c r="G43" s="9" t="s">
        <v>977</v>
      </c>
      <c r="H43" s="9" t="s">
        <v>49</v>
      </c>
      <c r="I43" s="9" t="s">
        <v>886</v>
      </c>
      <c r="J43" s="9" t="s">
        <v>967</v>
      </c>
      <c r="K43" s="9" t="s">
        <v>185</v>
      </c>
      <c r="L43" s="9" t="s">
        <v>154</v>
      </c>
      <c r="M43" s="11"/>
      <c r="N43" s="11" t="s">
        <v>64</v>
      </c>
      <c r="O43" s="11"/>
      <c r="P43" s="11"/>
      <c r="Q43" s="9" t="s">
        <v>64</v>
      </c>
    </row>
    <row r="44" customFormat="false" ht="22.35" hidden="false" customHeight="false" outlineLevel="0" collapsed="false">
      <c r="A44" s="9" t="s">
        <v>979</v>
      </c>
      <c r="B44" s="10" t="s">
        <v>34</v>
      </c>
      <c r="C44" s="9" t="s">
        <v>272</v>
      </c>
      <c r="D44" s="9" t="s">
        <v>273</v>
      </c>
      <c r="E44" s="9" t="n">
        <v>3</v>
      </c>
      <c r="F44" s="9"/>
      <c r="G44" s="9" t="s">
        <v>980</v>
      </c>
      <c r="H44" s="9" t="s">
        <v>48</v>
      </c>
      <c r="I44" s="9" t="s">
        <v>886</v>
      </c>
      <c r="J44" s="9" t="s">
        <v>967</v>
      </c>
      <c r="K44" s="9" t="s">
        <v>185</v>
      </c>
      <c r="L44" s="9" t="s">
        <v>154</v>
      </c>
      <c r="M44" s="11"/>
      <c r="N44" s="11" t="s">
        <v>63</v>
      </c>
      <c r="O44" s="11"/>
      <c r="P44" s="11"/>
      <c r="Q44" s="9" t="s">
        <v>63</v>
      </c>
    </row>
    <row r="45" customFormat="false" ht="22.35" hidden="false" customHeight="false" outlineLevel="0" collapsed="false">
      <c r="A45" s="9" t="s">
        <v>981</v>
      </c>
      <c r="B45" s="10" t="s">
        <v>34</v>
      </c>
      <c r="C45" s="9" t="s">
        <v>272</v>
      </c>
      <c r="D45" s="9" t="s">
        <v>273</v>
      </c>
      <c r="E45" s="9" t="n">
        <v>3</v>
      </c>
      <c r="F45" s="9"/>
      <c r="G45" s="9" t="s">
        <v>980</v>
      </c>
      <c r="H45" s="9" t="s">
        <v>49</v>
      </c>
      <c r="I45" s="9" t="s">
        <v>886</v>
      </c>
      <c r="J45" s="9" t="s">
        <v>967</v>
      </c>
      <c r="K45" s="9" t="s">
        <v>185</v>
      </c>
      <c r="L45" s="9" t="s">
        <v>154</v>
      </c>
      <c r="M45" s="11"/>
      <c r="N45" s="11" t="s">
        <v>64</v>
      </c>
      <c r="O45" s="11"/>
      <c r="P45" s="11"/>
      <c r="Q45" s="9" t="s">
        <v>64</v>
      </c>
    </row>
    <row r="46" customFormat="false" ht="22.35" hidden="false" customHeight="false" outlineLevel="0" collapsed="false">
      <c r="A46" s="9" t="s">
        <v>982</v>
      </c>
      <c r="B46" s="10" t="s">
        <v>34</v>
      </c>
      <c r="C46" s="9" t="s">
        <v>272</v>
      </c>
      <c r="D46" s="9" t="s">
        <v>273</v>
      </c>
      <c r="E46" s="9" t="n">
        <v>3</v>
      </c>
      <c r="F46" s="9"/>
      <c r="G46" s="9" t="s">
        <v>980</v>
      </c>
      <c r="H46" s="9" t="s">
        <v>48</v>
      </c>
      <c r="I46" s="9" t="s">
        <v>878</v>
      </c>
      <c r="J46" s="9" t="s">
        <v>967</v>
      </c>
      <c r="K46" s="9" t="s">
        <v>185</v>
      </c>
      <c r="L46" s="9" t="s">
        <v>154</v>
      </c>
      <c r="M46" s="11"/>
      <c r="N46" s="11" t="s">
        <v>63</v>
      </c>
      <c r="O46" s="11"/>
      <c r="P46" s="11"/>
      <c r="Q46" s="9" t="s">
        <v>63</v>
      </c>
    </row>
    <row r="47" customFormat="false" ht="22.35" hidden="false" customHeight="false" outlineLevel="0" collapsed="false">
      <c r="A47" s="9" t="s">
        <v>983</v>
      </c>
      <c r="B47" s="10" t="s">
        <v>34</v>
      </c>
      <c r="C47" s="9" t="s">
        <v>272</v>
      </c>
      <c r="D47" s="9" t="s">
        <v>273</v>
      </c>
      <c r="E47" s="9" t="n">
        <v>3</v>
      </c>
      <c r="F47" s="9"/>
      <c r="G47" s="9" t="s">
        <v>980</v>
      </c>
      <c r="H47" s="9" t="s">
        <v>49</v>
      </c>
      <c r="I47" s="9" t="s">
        <v>878</v>
      </c>
      <c r="J47" s="9" t="s">
        <v>967</v>
      </c>
      <c r="K47" s="9" t="s">
        <v>185</v>
      </c>
      <c r="L47" s="9" t="s">
        <v>154</v>
      </c>
      <c r="M47" s="11"/>
      <c r="N47" s="11" t="s">
        <v>64</v>
      </c>
      <c r="O47" s="11"/>
      <c r="P47" s="11"/>
      <c r="Q47" s="9" t="s">
        <v>64</v>
      </c>
    </row>
    <row r="48" customFormat="false" ht="32.8" hidden="false" customHeight="false" outlineLevel="0" collapsed="false">
      <c r="A48" s="9" t="s">
        <v>984</v>
      </c>
      <c r="B48" s="10" t="s">
        <v>34</v>
      </c>
      <c r="C48" s="9" t="s">
        <v>272</v>
      </c>
      <c r="D48" s="9" t="s">
        <v>273</v>
      </c>
      <c r="E48" s="9" t="n">
        <v>3</v>
      </c>
      <c r="F48" s="9"/>
      <c r="G48" s="9" t="s">
        <v>985</v>
      </c>
      <c r="H48" s="9" t="s">
        <v>48</v>
      </c>
      <c r="I48" s="9" t="s">
        <v>886</v>
      </c>
      <c r="J48" s="9" t="s">
        <v>967</v>
      </c>
      <c r="K48" s="9" t="s">
        <v>185</v>
      </c>
      <c r="L48" s="9" t="s">
        <v>154</v>
      </c>
      <c r="M48" s="11"/>
      <c r="N48" s="11" t="s">
        <v>63</v>
      </c>
      <c r="O48" s="11"/>
      <c r="P48" s="11"/>
      <c r="Q48" s="9" t="s">
        <v>63</v>
      </c>
    </row>
    <row r="49" customFormat="false" ht="32.8" hidden="false" customHeight="false" outlineLevel="0" collapsed="false">
      <c r="A49" s="9" t="s">
        <v>986</v>
      </c>
      <c r="B49" s="10" t="s">
        <v>34</v>
      </c>
      <c r="C49" s="9" t="s">
        <v>272</v>
      </c>
      <c r="D49" s="9" t="s">
        <v>273</v>
      </c>
      <c r="E49" s="9" t="n">
        <v>3</v>
      </c>
      <c r="F49" s="9"/>
      <c r="G49" s="9" t="s">
        <v>985</v>
      </c>
      <c r="H49" s="9" t="s">
        <v>49</v>
      </c>
      <c r="I49" s="9" t="s">
        <v>886</v>
      </c>
      <c r="J49" s="9" t="s">
        <v>967</v>
      </c>
      <c r="K49" s="9" t="s">
        <v>185</v>
      </c>
      <c r="L49" s="9" t="s">
        <v>154</v>
      </c>
      <c r="M49" s="11"/>
      <c r="N49" s="11" t="s">
        <v>64</v>
      </c>
      <c r="O49" s="11"/>
      <c r="P49" s="11"/>
      <c r="Q49" s="9" t="s">
        <v>64</v>
      </c>
    </row>
    <row r="50" customFormat="false" ht="32.8" hidden="false" customHeight="false" outlineLevel="0" collapsed="false">
      <c r="A50" s="9" t="s">
        <v>987</v>
      </c>
      <c r="B50" s="10" t="s">
        <v>34</v>
      </c>
      <c r="C50" s="9" t="s">
        <v>272</v>
      </c>
      <c r="D50" s="9" t="s">
        <v>273</v>
      </c>
      <c r="E50" s="9" t="n">
        <v>3</v>
      </c>
      <c r="F50" s="9"/>
      <c r="G50" s="9" t="s">
        <v>985</v>
      </c>
      <c r="H50" s="9" t="s">
        <v>48</v>
      </c>
      <c r="I50" s="9" t="s">
        <v>878</v>
      </c>
      <c r="J50" s="9" t="s">
        <v>967</v>
      </c>
      <c r="K50" s="9" t="s">
        <v>185</v>
      </c>
      <c r="L50" s="9" t="s">
        <v>154</v>
      </c>
      <c r="M50" s="11"/>
      <c r="N50" s="11" t="s">
        <v>63</v>
      </c>
      <c r="O50" s="11"/>
      <c r="P50" s="11"/>
      <c r="Q50" s="9" t="s">
        <v>63</v>
      </c>
    </row>
    <row r="51" customFormat="false" ht="32.8" hidden="false" customHeight="false" outlineLevel="0" collapsed="false">
      <c r="A51" s="9" t="s">
        <v>988</v>
      </c>
      <c r="B51" s="10" t="s">
        <v>34</v>
      </c>
      <c r="C51" s="9" t="s">
        <v>272</v>
      </c>
      <c r="D51" s="9" t="s">
        <v>273</v>
      </c>
      <c r="E51" s="9" t="n">
        <v>3</v>
      </c>
      <c r="F51" s="9"/>
      <c r="G51" s="9" t="s">
        <v>985</v>
      </c>
      <c r="H51" s="9" t="s">
        <v>49</v>
      </c>
      <c r="I51" s="9" t="s">
        <v>878</v>
      </c>
      <c r="J51" s="9" t="s">
        <v>967</v>
      </c>
      <c r="K51" s="9" t="s">
        <v>185</v>
      </c>
      <c r="L51" s="9" t="s">
        <v>154</v>
      </c>
      <c r="M51" s="11"/>
      <c r="N51" s="11" t="s">
        <v>64</v>
      </c>
      <c r="O51" s="11"/>
      <c r="P51" s="11"/>
      <c r="Q51" s="9" t="s">
        <v>64</v>
      </c>
    </row>
    <row r="52" customFormat="false" ht="32.8" hidden="false" customHeight="false" outlineLevel="0" collapsed="false">
      <c r="A52" s="9" t="s">
        <v>989</v>
      </c>
      <c r="B52" s="10" t="s">
        <v>34</v>
      </c>
      <c r="C52" s="9" t="s">
        <v>272</v>
      </c>
      <c r="D52" s="9" t="s">
        <v>273</v>
      </c>
      <c r="E52" s="9" t="n">
        <v>5</v>
      </c>
      <c r="F52" s="9"/>
      <c r="G52" s="9" t="s">
        <v>985</v>
      </c>
      <c r="H52" s="9" t="s">
        <v>51</v>
      </c>
      <c r="I52" s="9" t="s">
        <v>990</v>
      </c>
      <c r="J52" s="9" t="s">
        <v>991</v>
      </c>
      <c r="K52" s="9" t="s">
        <v>185</v>
      </c>
      <c r="L52" s="9" t="s">
        <v>154</v>
      </c>
      <c r="M52" s="11"/>
      <c r="N52" s="11" t="s">
        <v>79</v>
      </c>
      <c r="O52" s="11"/>
      <c r="P52" s="11"/>
      <c r="Q52" s="9" t="s">
        <v>79</v>
      </c>
    </row>
    <row r="53" customFormat="false" ht="43.25" hidden="false" customHeight="false" outlineLevel="0" collapsed="false">
      <c r="A53" s="9" t="s">
        <v>992</v>
      </c>
      <c r="B53" s="14" t="s">
        <v>40</v>
      </c>
      <c r="C53" s="9" t="s">
        <v>280</v>
      </c>
      <c r="D53" s="9" t="s">
        <v>281</v>
      </c>
      <c r="E53" s="9" t="n">
        <v>13</v>
      </c>
      <c r="F53" s="9"/>
      <c r="G53" s="9" t="s">
        <v>993</v>
      </c>
      <c r="H53" s="9" t="s">
        <v>50</v>
      </c>
      <c r="I53" s="9" t="s">
        <v>994</v>
      </c>
      <c r="J53" s="9" t="s">
        <v>667</v>
      </c>
      <c r="K53" s="9" t="s">
        <v>185</v>
      </c>
      <c r="L53" s="9" t="s">
        <v>154</v>
      </c>
      <c r="M53" s="11"/>
      <c r="N53" s="11" t="s">
        <v>60</v>
      </c>
      <c r="O53" s="11"/>
      <c r="P53" s="11"/>
      <c r="Q53" s="9" t="s">
        <v>60</v>
      </c>
    </row>
    <row r="54" customFormat="false" ht="43.25" hidden="false" customHeight="false" outlineLevel="0" collapsed="false">
      <c r="A54" s="9" t="s">
        <v>995</v>
      </c>
      <c r="B54" s="14" t="s">
        <v>40</v>
      </c>
      <c r="C54" s="9" t="s">
        <v>280</v>
      </c>
      <c r="D54" s="9" t="s">
        <v>281</v>
      </c>
      <c r="E54" s="9" t="n">
        <v>13</v>
      </c>
      <c r="F54" s="9"/>
      <c r="G54" s="9" t="s">
        <v>996</v>
      </c>
      <c r="H54" s="9" t="s">
        <v>50</v>
      </c>
      <c r="I54" s="9" t="s">
        <v>994</v>
      </c>
      <c r="J54" s="9" t="s">
        <v>667</v>
      </c>
      <c r="K54" s="9" t="s">
        <v>185</v>
      </c>
      <c r="L54" s="9" t="s">
        <v>154</v>
      </c>
      <c r="M54" s="11"/>
      <c r="N54" s="11" t="s">
        <v>60</v>
      </c>
      <c r="O54" s="11"/>
      <c r="P54" s="11"/>
      <c r="Q54" s="9" t="s">
        <v>60</v>
      </c>
    </row>
    <row r="55" customFormat="false" ht="43.25" hidden="false" customHeight="false" outlineLevel="0" collapsed="false">
      <c r="A55" s="9" t="s">
        <v>997</v>
      </c>
      <c r="B55" s="14" t="s">
        <v>40</v>
      </c>
      <c r="C55" s="9" t="s">
        <v>280</v>
      </c>
      <c r="D55" s="9" t="s">
        <v>281</v>
      </c>
      <c r="E55" s="9" t="n">
        <v>13</v>
      </c>
      <c r="F55" s="9"/>
      <c r="G55" s="9" t="s">
        <v>998</v>
      </c>
      <c r="H55" s="9" t="s">
        <v>50</v>
      </c>
      <c r="I55" s="9" t="s">
        <v>994</v>
      </c>
      <c r="J55" s="9" t="s">
        <v>667</v>
      </c>
      <c r="K55" s="9" t="s">
        <v>185</v>
      </c>
      <c r="L55" s="9" t="s">
        <v>154</v>
      </c>
      <c r="M55" s="11"/>
      <c r="N55" s="11" t="s">
        <v>60</v>
      </c>
      <c r="O55" s="11"/>
      <c r="P55" s="11"/>
      <c r="Q55" s="9" t="s">
        <v>60</v>
      </c>
    </row>
    <row r="56" customFormat="false" ht="43.25" hidden="false" customHeight="false" outlineLevel="0" collapsed="false">
      <c r="A56" s="9" t="s">
        <v>999</v>
      </c>
      <c r="B56" s="14" t="s">
        <v>40</v>
      </c>
      <c r="C56" s="9" t="s">
        <v>280</v>
      </c>
      <c r="D56" s="9" t="s">
        <v>281</v>
      </c>
      <c r="E56" s="9" t="n">
        <v>13</v>
      </c>
      <c r="F56" s="9"/>
      <c r="G56" s="9" t="s">
        <v>1000</v>
      </c>
      <c r="H56" s="9" t="s">
        <v>50</v>
      </c>
      <c r="I56" s="9" t="s">
        <v>994</v>
      </c>
      <c r="J56" s="9" t="s">
        <v>667</v>
      </c>
      <c r="K56" s="9" t="s">
        <v>185</v>
      </c>
      <c r="L56" s="9" t="s">
        <v>154</v>
      </c>
      <c r="M56" s="11"/>
      <c r="N56" s="11" t="s">
        <v>60</v>
      </c>
      <c r="O56" s="11"/>
      <c r="P56" s="11"/>
      <c r="Q56" s="9" t="s">
        <v>60</v>
      </c>
    </row>
    <row r="57" customFormat="false" ht="43.25" hidden="false" customHeight="false" outlineLevel="0" collapsed="false">
      <c r="A57" s="9" t="s">
        <v>1001</v>
      </c>
      <c r="B57" s="14" t="s">
        <v>40</v>
      </c>
      <c r="C57" s="9" t="s">
        <v>280</v>
      </c>
      <c r="D57" s="9" t="s">
        <v>281</v>
      </c>
      <c r="E57" s="9" t="n">
        <v>13</v>
      </c>
      <c r="F57" s="9"/>
      <c r="G57" s="9" t="s">
        <v>1002</v>
      </c>
      <c r="H57" s="9" t="s">
        <v>50</v>
      </c>
      <c r="I57" s="9" t="s">
        <v>994</v>
      </c>
      <c r="J57" s="9" t="s">
        <v>667</v>
      </c>
      <c r="K57" s="9" t="s">
        <v>185</v>
      </c>
      <c r="L57" s="9" t="s">
        <v>154</v>
      </c>
      <c r="M57" s="11"/>
      <c r="N57" s="11" t="s">
        <v>60</v>
      </c>
      <c r="O57" s="11"/>
      <c r="P57" s="11"/>
      <c r="Q57" s="9" t="s">
        <v>60</v>
      </c>
    </row>
    <row r="58" customFormat="false" ht="43.25" hidden="false" customHeight="false" outlineLevel="0" collapsed="false">
      <c r="A58" s="9" t="s">
        <v>1003</v>
      </c>
      <c r="B58" s="14" t="s">
        <v>40</v>
      </c>
      <c r="C58" s="9" t="s">
        <v>280</v>
      </c>
      <c r="D58" s="9" t="s">
        <v>281</v>
      </c>
      <c r="E58" s="9" t="n">
        <v>13</v>
      </c>
      <c r="F58" s="9"/>
      <c r="G58" s="9" t="s">
        <v>1004</v>
      </c>
      <c r="H58" s="9" t="s">
        <v>50</v>
      </c>
      <c r="I58" s="9" t="s">
        <v>994</v>
      </c>
      <c r="J58" s="9" t="s">
        <v>667</v>
      </c>
      <c r="K58" s="9" t="s">
        <v>185</v>
      </c>
      <c r="L58" s="9" t="s">
        <v>154</v>
      </c>
      <c r="M58" s="11"/>
      <c r="N58" s="11" t="s">
        <v>60</v>
      </c>
      <c r="O58" s="11"/>
      <c r="P58" s="11"/>
      <c r="Q58" s="9" t="s">
        <v>60</v>
      </c>
    </row>
    <row r="59" customFormat="false" ht="22.35" hidden="false" customHeight="false" outlineLevel="0" collapsed="false">
      <c r="A59" s="9" t="s">
        <v>1005</v>
      </c>
      <c r="B59" s="10" t="s">
        <v>34</v>
      </c>
      <c r="C59" s="9" t="s">
        <v>287</v>
      </c>
      <c r="D59" s="9" t="s">
        <v>288</v>
      </c>
      <c r="E59" s="9" t="n">
        <v>5</v>
      </c>
      <c r="F59" s="9"/>
      <c r="G59" s="9" t="s">
        <v>1006</v>
      </c>
      <c r="H59" s="9" t="s">
        <v>48</v>
      </c>
      <c r="I59" s="9" t="s">
        <v>1007</v>
      </c>
      <c r="J59" s="9" t="s">
        <v>1008</v>
      </c>
      <c r="K59" s="9" t="s">
        <v>185</v>
      </c>
      <c r="L59" s="9" t="s">
        <v>154</v>
      </c>
      <c r="M59" s="11"/>
      <c r="N59" s="11" t="s">
        <v>80</v>
      </c>
      <c r="O59" s="11"/>
      <c r="P59" s="11"/>
      <c r="Q59" s="9" t="s">
        <v>80</v>
      </c>
    </row>
    <row r="60" customFormat="false" ht="22.35" hidden="false" customHeight="false" outlineLevel="0" collapsed="false">
      <c r="A60" s="9" t="s">
        <v>1009</v>
      </c>
      <c r="B60" s="10" t="s">
        <v>34</v>
      </c>
      <c r="C60" s="9" t="s">
        <v>287</v>
      </c>
      <c r="D60" s="9" t="s">
        <v>288</v>
      </c>
      <c r="E60" s="9" t="n">
        <v>5</v>
      </c>
      <c r="F60" s="9"/>
      <c r="G60" s="9" t="s">
        <v>1006</v>
      </c>
      <c r="H60" s="9" t="s">
        <v>49</v>
      </c>
      <c r="I60" s="9" t="s">
        <v>1007</v>
      </c>
      <c r="J60" s="9" t="s">
        <v>1008</v>
      </c>
      <c r="K60" s="9" t="s">
        <v>185</v>
      </c>
      <c r="L60" s="9" t="s">
        <v>154</v>
      </c>
      <c r="M60" s="11"/>
      <c r="N60" s="11" t="s">
        <v>80</v>
      </c>
      <c r="O60" s="11"/>
      <c r="P60" s="11"/>
      <c r="Q60" s="9" t="s">
        <v>80</v>
      </c>
    </row>
    <row r="61" customFormat="false" ht="43.25" hidden="false" customHeight="false" outlineLevel="0" collapsed="false">
      <c r="A61" s="9" t="s">
        <v>1010</v>
      </c>
      <c r="B61" s="10" t="s">
        <v>34</v>
      </c>
      <c r="C61" s="9" t="s">
        <v>287</v>
      </c>
      <c r="D61" s="9" t="s">
        <v>288</v>
      </c>
      <c r="E61" s="9" t="n">
        <v>5</v>
      </c>
      <c r="F61" s="9"/>
      <c r="G61" s="9" t="s">
        <v>1006</v>
      </c>
      <c r="H61" s="9" t="s">
        <v>50</v>
      </c>
      <c r="I61" s="9" t="s">
        <v>994</v>
      </c>
      <c r="J61" s="9" t="s">
        <v>1011</v>
      </c>
      <c r="K61" s="9" t="s">
        <v>185</v>
      </c>
      <c r="L61" s="9" t="s">
        <v>154</v>
      </c>
      <c r="M61" s="11"/>
      <c r="N61" s="11" t="s">
        <v>116</v>
      </c>
      <c r="O61" s="11"/>
      <c r="P61" s="11"/>
      <c r="Q61" s="9" t="s">
        <v>116</v>
      </c>
    </row>
    <row r="62" customFormat="false" ht="32.8" hidden="false" customHeight="false" outlineLevel="0" collapsed="false">
      <c r="A62" s="9" t="s">
        <v>1012</v>
      </c>
      <c r="B62" s="10" t="s">
        <v>34</v>
      </c>
      <c r="C62" s="9" t="s">
        <v>303</v>
      </c>
      <c r="D62" s="9" t="s">
        <v>304</v>
      </c>
      <c r="E62" s="9" t="n">
        <v>7</v>
      </c>
      <c r="F62" s="9"/>
      <c r="G62" s="9" t="s">
        <v>1013</v>
      </c>
      <c r="H62" s="9" t="s">
        <v>50</v>
      </c>
      <c r="I62" s="9" t="s">
        <v>909</v>
      </c>
      <c r="J62" s="9" t="s">
        <v>305</v>
      </c>
      <c r="K62" s="9" t="s">
        <v>152</v>
      </c>
      <c r="L62" s="9" t="s">
        <v>154</v>
      </c>
      <c r="M62" s="11"/>
      <c r="N62" s="11" t="s">
        <v>107</v>
      </c>
      <c r="O62" s="11"/>
      <c r="P62" s="11"/>
      <c r="Q62" s="9" t="s">
        <v>107</v>
      </c>
    </row>
    <row r="63" customFormat="false" ht="32.8" hidden="false" customHeight="false" outlineLevel="0" collapsed="false">
      <c r="A63" s="9" t="s">
        <v>1014</v>
      </c>
      <c r="B63" s="10" t="s">
        <v>34</v>
      </c>
      <c r="C63" s="9" t="s">
        <v>303</v>
      </c>
      <c r="D63" s="9" t="s">
        <v>304</v>
      </c>
      <c r="E63" s="9" t="n">
        <v>8</v>
      </c>
      <c r="F63" s="9"/>
      <c r="G63" s="9" t="s">
        <v>1013</v>
      </c>
      <c r="H63" s="9" t="s">
        <v>48</v>
      </c>
      <c r="I63" s="9" t="s">
        <v>886</v>
      </c>
      <c r="J63" s="9" t="s">
        <v>1015</v>
      </c>
      <c r="K63" s="9" t="s">
        <v>185</v>
      </c>
      <c r="L63" s="9" t="s">
        <v>154</v>
      </c>
      <c r="M63" s="11"/>
      <c r="N63" s="11" t="s">
        <v>99</v>
      </c>
      <c r="O63" s="11"/>
      <c r="P63" s="11"/>
      <c r="Q63" s="9" t="s">
        <v>99</v>
      </c>
    </row>
    <row r="64" customFormat="false" ht="32.8" hidden="false" customHeight="false" outlineLevel="0" collapsed="false">
      <c r="A64" s="9" t="s">
        <v>1016</v>
      </c>
      <c r="B64" s="10" t="s">
        <v>34</v>
      </c>
      <c r="C64" s="9" t="s">
        <v>303</v>
      </c>
      <c r="D64" s="9" t="s">
        <v>304</v>
      </c>
      <c r="E64" s="9" t="n">
        <v>8</v>
      </c>
      <c r="F64" s="9"/>
      <c r="G64" s="9" t="s">
        <v>1013</v>
      </c>
      <c r="H64" s="9" t="s">
        <v>49</v>
      </c>
      <c r="I64" s="9" t="s">
        <v>886</v>
      </c>
      <c r="J64" s="9" t="s">
        <v>1015</v>
      </c>
      <c r="K64" s="9" t="s">
        <v>185</v>
      </c>
      <c r="L64" s="9" t="s">
        <v>154</v>
      </c>
      <c r="M64" s="11"/>
      <c r="N64" s="11" t="s">
        <v>80</v>
      </c>
      <c r="O64" s="11"/>
      <c r="P64" s="11"/>
      <c r="Q64" s="9" t="s">
        <v>80</v>
      </c>
    </row>
    <row r="65" customFormat="false" ht="32.8" hidden="false" customHeight="false" outlineLevel="0" collapsed="false">
      <c r="A65" s="9" t="s">
        <v>1017</v>
      </c>
      <c r="B65" s="10" t="s">
        <v>34</v>
      </c>
      <c r="C65" s="9" t="s">
        <v>303</v>
      </c>
      <c r="D65" s="9" t="s">
        <v>304</v>
      </c>
      <c r="E65" s="9" t="n">
        <v>8</v>
      </c>
      <c r="F65" s="9"/>
      <c r="G65" s="9" t="s">
        <v>1013</v>
      </c>
      <c r="H65" s="9" t="s">
        <v>51</v>
      </c>
      <c r="I65" s="9" t="s">
        <v>1018</v>
      </c>
      <c r="J65" s="9" t="s">
        <v>309</v>
      </c>
      <c r="K65" s="9" t="s">
        <v>152</v>
      </c>
      <c r="L65" s="9" t="s">
        <v>154</v>
      </c>
      <c r="M65" s="11"/>
      <c r="N65" s="11" t="s">
        <v>79</v>
      </c>
      <c r="O65" s="11"/>
      <c r="P65" s="11"/>
      <c r="Q65" s="9" t="s">
        <v>79</v>
      </c>
    </row>
    <row r="66" customFormat="false" ht="22.35" hidden="false" customHeight="false" outlineLevel="0" collapsed="false">
      <c r="A66" s="9" t="s">
        <v>1019</v>
      </c>
      <c r="B66" s="10" t="s">
        <v>34</v>
      </c>
      <c r="C66" s="9" t="s">
        <v>303</v>
      </c>
      <c r="D66" s="9" t="s">
        <v>304</v>
      </c>
      <c r="E66" s="9" t="n">
        <v>8</v>
      </c>
      <c r="F66" s="9"/>
      <c r="G66" s="9" t="s">
        <v>925</v>
      </c>
      <c r="H66" s="9" t="s">
        <v>53</v>
      </c>
      <c r="I66" s="9" t="s">
        <v>926</v>
      </c>
      <c r="J66" s="9" t="s">
        <v>1020</v>
      </c>
      <c r="K66" s="9" t="s">
        <v>152</v>
      </c>
      <c r="L66" s="9" t="s">
        <v>154</v>
      </c>
      <c r="M66" s="11"/>
      <c r="N66" s="11" t="s">
        <v>81</v>
      </c>
      <c r="O66" s="11"/>
      <c r="P66" s="11"/>
      <c r="Q66" s="9" t="s">
        <v>81</v>
      </c>
    </row>
    <row r="67" customFormat="false" ht="32.8" hidden="false" customHeight="false" outlineLevel="0" collapsed="false">
      <c r="A67" s="9" t="s">
        <v>1021</v>
      </c>
      <c r="B67" s="14" t="s">
        <v>40</v>
      </c>
      <c r="C67" s="9" t="s">
        <v>311</v>
      </c>
      <c r="D67" s="9" t="s">
        <v>312</v>
      </c>
      <c r="E67" s="9" t="n">
        <v>1</v>
      </c>
      <c r="F67" s="9"/>
      <c r="G67" s="9" t="s">
        <v>1022</v>
      </c>
      <c r="H67" s="9" t="s">
        <v>50</v>
      </c>
      <c r="I67" s="9" t="s">
        <v>994</v>
      </c>
      <c r="J67" s="9" t="s">
        <v>1023</v>
      </c>
      <c r="K67" s="9" t="s">
        <v>185</v>
      </c>
      <c r="L67" s="9" t="s">
        <v>154</v>
      </c>
      <c r="M67" s="11"/>
      <c r="N67" s="11" t="s">
        <v>116</v>
      </c>
      <c r="O67" s="11"/>
      <c r="P67" s="11"/>
      <c r="Q67" s="9" t="s">
        <v>116</v>
      </c>
    </row>
    <row r="68" customFormat="false" ht="32.8" hidden="false" customHeight="false" outlineLevel="0" collapsed="false">
      <c r="A68" s="9" t="s">
        <v>1024</v>
      </c>
      <c r="B68" s="14" t="s">
        <v>40</v>
      </c>
      <c r="C68" s="9" t="s">
        <v>311</v>
      </c>
      <c r="D68" s="9" t="s">
        <v>312</v>
      </c>
      <c r="E68" s="9" t="n">
        <v>6</v>
      </c>
      <c r="F68" s="9"/>
      <c r="G68" s="9" t="s">
        <v>1025</v>
      </c>
      <c r="H68" s="9" t="s">
        <v>50</v>
      </c>
      <c r="I68" s="9" t="s">
        <v>994</v>
      </c>
      <c r="J68" s="9" t="s">
        <v>704</v>
      </c>
      <c r="K68" s="9" t="s">
        <v>185</v>
      </c>
      <c r="L68" s="9" t="s">
        <v>154</v>
      </c>
      <c r="M68" s="11"/>
      <c r="N68" s="11" t="s">
        <v>116</v>
      </c>
      <c r="O68" s="11"/>
      <c r="P68" s="11"/>
      <c r="Q68" s="9" t="s">
        <v>116</v>
      </c>
    </row>
    <row r="69" customFormat="false" ht="32.8" hidden="false" customHeight="false" outlineLevel="0" collapsed="false">
      <c r="A69" s="9" t="s">
        <v>1026</v>
      </c>
      <c r="B69" s="14" t="s">
        <v>40</v>
      </c>
      <c r="C69" s="9" t="s">
        <v>311</v>
      </c>
      <c r="D69" s="9" t="s">
        <v>312</v>
      </c>
      <c r="E69" s="9" t="n">
        <v>6</v>
      </c>
      <c r="F69" s="9"/>
      <c r="G69" s="9" t="s">
        <v>1027</v>
      </c>
      <c r="H69" s="9" t="s">
        <v>50</v>
      </c>
      <c r="I69" s="9" t="s">
        <v>994</v>
      </c>
      <c r="J69" s="9" t="s">
        <v>704</v>
      </c>
      <c r="K69" s="9" t="s">
        <v>185</v>
      </c>
      <c r="L69" s="9" t="s">
        <v>154</v>
      </c>
      <c r="M69" s="11"/>
      <c r="N69" s="11" t="s">
        <v>116</v>
      </c>
      <c r="O69" s="11"/>
      <c r="P69" s="11"/>
      <c r="Q69" s="9" t="s">
        <v>116</v>
      </c>
    </row>
    <row r="70" customFormat="false" ht="53.7" hidden="false" customHeight="false" outlineLevel="0" collapsed="false">
      <c r="A70" s="9" t="s">
        <v>1028</v>
      </c>
      <c r="B70" s="10" t="s">
        <v>34</v>
      </c>
      <c r="C70" s="9" t="s">
        <v>368</v>
      </c>
      <c r="D70" s="9" t="s">
        <v>369</v>
      </c>
      <c r="E70" s="9" t="n">
        <v>3</v>
      </c>
      <c r="F70" s="9"/>
      <c r="G70" s="9" t="s">
        <v>1029</v>
      </c>
      <c r="H70" s="9" t="s">
        <v>51</v>
      </c>
      <c r="I70" s="9" t="s">
        <v>1030</v>
      </c>
      <c r="J70" s="9" t="s">
        <v>1031</v>
      </c>
      <c r="K70" s="9" t="s">
        <v>152</v>
      </c>
      <c r="L70" s="9" t="s">
        <v>154</v>
      </c>
      <c r="M70" s="11"/>
      <c r="N70" s="11" t="s">
        <v>66</v>
      </c>
      <c r="O70" s="11"/>
      <c r="P70" s="11"/>
      <c r="Q70" s="9" t="s">
        <v>66</v>
      </c>
    </row>
    <row r="71" customFormat="false" ht="32.8" hidden="false" customHeight="false" outlineLevel="0" collapsed="false">
      <c r="A71" s="9" t="s">
        <v>1032</v>
      </c>
      <c r="B71" s="10" t="s">
        <v>34</v>
      </c>
      <c r="C71" s="9" t="s">
        <v>368</v>
      </c>
      <c r="D71" s="9" t="s">
        <v>369</v>
      </c>
      <c r="E71" s="9" t="n">
        <v>3</v>
      </c>
      <c r="F71" s="9"/>
      <c r="G71" s="9" t="s">
        <v>1033</v>
      </c>
      <c r="H71" s="9" t="s">
        <v>51</v>
      </c>
      <c r="I71" s="9" t="s">
        <v>1034</v>
      </c>
      <c r="J71" s="9" t="s">
        <v>1031</v>
      </c>
      <c r="K71" s="9" t="s">
        <v>152</v>
      </c>
      <c r="L71" s="9" t="s">
        <v>154</v>
      </c>
      <c r="M71" s="11"/>
      <c r="N71" s="11" t="s">
        <v>66</v>
      </c>
      <c r="O71" s="11"/>
      <c r="P71" s="11"/>
      <c r="Q71" s="9" t="s">
        <v>66</v>
      </c>
    </row>
    <row r="72" customFormat="false" ht="32.8" hidden="false" customHeight="false" outlineLevel="0" collapsed="false">
      <c r="A72" s="9" t="s">
        <v>1035</v>
      </c>
      <c r="B72" s="10" t="s">
        <v>34</v>
      </c>
      <c r="C72" s="9" t="s">
        <v>368</v>
      </c>
      <c r="D72" s="9" t="s">
        <v>369</v>
      </c>
      <c r="E72" s="9" t="n">
        <v>3</v>
      </c>
      <c r="F72" s="9"/>
      <c r="G72" s="9" t="s">
        <v>1036</v>
      </c>
      <c r="H72" s="9" t="s">
        <v>51</v>
      </c>
      <c r="I72" s="9" t="s">
        <v>1037</v>
      </c>
      <c r="J72" s="9" t="s">
        <v>1031</v>
      </c>
      <c r="K72" s="9" t="s">
        <v>152</v>
      </c>
      <c r="L72" s="9" t="s">
        <v>154</v>
      </c>
      <c r="M72" s="11"/>
      <c r="N72" s="11" t="s">
        <v>66</v>
      </c>
      <c r="O72" s="11"/>
      <c r="P72" s="11"/>
      <c r="Q72" s="9" t="s">
        <v>66</v>
      </c>
    </row>
    <row r="73" customFormat="false" ht="32.8" hidden="false" customHeight="false" outlineLevel="0" collapsed="false">
      <c r="A73" s="9" t="s">
        <v>1038</v>
      </c>
      <c r="B73" s="10" t="s">
        <v>34</v>
      </c>
      <c r="C73" s="9" t="s">
        <v>368</v>
      </c>
      <c r="D73" s="9" t="s">
        <v>369</v>
      </c>
      <c r="E73" s="9" t="n">
        <v>3</v>
      </c>
      <c r="F73" s="9"/>
      <c r="G73" s="9" t="s">
        <v>1039</v>
      </c>
      <c r="H73" s="9" t="s">
        <v>51</v>
      </c>
      <c r="I73" s="9" t="s">
        <v>1040</v>
      </c>
      <c r="J73" s="9" t="s">
        <v>1031</v>
      </c>
      <c r="K73" s="9" t="s">
        <v>152</v>
      </c>
      <c r="L73" s="9" t="s">
        <v>154</v>
      </c>
      <c r="M73" s="11"/>
      <c r="N73" s="11" t="s">
        <v>66</v>
      </c>
      <c r="O73" s="11"/>
      <c r="P73" s="11"/>
      <c r="Q73" s="9" t="s">
        <v>66</v>
      </c>
    </row>
    <row r="74" customFormat="false" ht="32.8" hidden="false" customHeight="false" outlineLevel="0" collapsed="false">
      <c r="A74" s="9" t="s">
        <v>1041</v>
      </c>
      <c r="B74" s="10" t="s">
        <v>34</v>
      </c>
      <c r="C74" s="9" t="s">
        <v>368</v>
      </c>
      <c r="D74" s="9" t="s">
        <v>369</v>
      </c>
      <c r="E74" s="9" t="n">
        <v>3</v>
      </c>
      <c r="F74" s="9"/>
      <c r="G74" s="9" t="s">
        <v>1042</v>
      </c>
      <c r="H74" s="9" t="s">
        <v>51</v>
      </c>
      <c r="I74" s="9" t="s">
        <v>1043</v>
      </c>
      <c r="J74" s="9" t="s">
        <v>1031</v>
      </c>
      <c r="K74" s="9" t="s">
        <v>152</v>
      </c>
      <c r="L74" s="9" t="s">
        <v>154</v>
      </c>
      <c r="M74" s="11"/>
      <c r="N74" s="11" t="s">
        <v>66</v>
      </c>
      <c r="O74" s="11"/>
      <c r="P74" s="11"/>
      <c r="Q74" s="9" t="s">
        <v>66</v>
      </c>
    </row>
    <row r="75" customFormat="false" ht="22.35" hidden="false" customHeight="false" outlineLevel="0" collapsed="false">
      <c r="A75" s="9" t="s">
        <v>1044</v>
      </c>
      <c r="B75" s="10" t="s">
        <v>34</v>
      </c>
      <c r="C75" s="9" t="s">
        <v>368</v>
      </c>
      <c r="D75" s="9" t="s">
        <v>369</v>
      </c>
      <c r="E75" s="9" t="n">
        <v>4</v>
      </c>
      <c r="F75" s="9"/>
      <c r="G75" s="9" t="s">
        <v>925</v>
      </c>
      <c r="H75" s="9" t="s">
        <v>53</v>
      </c>
      <c r="I75" s="9" t="s">
        <v>1045</v>
      </c>
      <c r="J75" s="9" t="s">
        <v>1046</v>
      </c>
      <c r="K75" s="9" t="s">
        <v>185</v>
      </c>
      <c r="L75" s="9" t="s">
        <v>154</v>
      </c>
      <c r="M75" s="11"/>
      <c r="N75" s="11" t="s">
        <v>81</v>
      </c>
      <c r="O75" s="11"/>
      <c r="P75" s="11"/>
      <c r="Q75" s="9" t="s">
        <v>81</v>
      </c>
    </row>
    <row r="76" customFormat="false" ht="32.8" hidden="false" customHeight="false" outlineLevel="0" collapsed="false">
      <c r="A76" s="9" t="s">
        <v>1047</v>
      </c>
      <c r="B76" s="10" t="s">
        <v>34</v>
      </c>
      <c r="C76" s="9" t="s">
        <v>368</v>
      </c>
      <c r="D76" s="9" t="s">
        <v>369</v>
      </c>
      <c r="E76" s="9" t="n">
        <v>7</v>
      </c>
      <c r="F76" s="9"/>
      <c r="G76" s="9" t="s">
        <v>1029</v>
      </c>
      <c r="H76" s="9" t="s">
        <v>52</v>
      </c>
      <c r="I76" s="9" t="s">
        <v>1048</v>
      </c>
      <c r="J76" s="9" t="s">
        <v>1049</v>
      </c>
      <c r="K76" s="9" t="s">
        <v>152</v>
      </c>
      <c r="L76" s="9" t="s">
        <v>154</v>
      </c>
      <c r="M76" s="11"/>
      <c r="N76" s="11" t="s">
        <v>67</v>
      </c>
      <c r="O76" s="11"/>
      <c r="P76" s="11"/>
      <c r="Q76" s="9" t="s">
        <v>67</v>
      </c>
    </row>
    <row r="77" customFormat="false" ht="32.8" hidden="false" customHeight="false" outlineLevel="0" collapsed="false">
      <c r="A77" s="9" t="s">
        <v>1050</v>
      </c>
      <c r="B77" s="10" t="s">
        <v>34</v>
      </c>
      <c r="C77" s="9" t="s">
        <v>368</v>
      </c>
      <c r="D77" s="9" t="s">
        <v>369</v>
      </c>
      <c r="E77" s="9" t="n">
        <v>7</v>
      </c>
      <c r="F77" s="9"/>
      <c r="G77" s="9" t="s">
        <v>1033</v>
      </c>
      <c r="H77" s="9" t="s">
        <v>52</v>
      </c>
      <c r="I77" s="9" t="s">
        <v>1051</v>
      </c>
      <c r="J77" s="9" t="s">
        <v>1052</v>
      </c>
      <c r="K77" s="9" t="s">
        <v>152</v>
      </c>
      <c r="L77" s="9" t="s">
        <v>154</v>
      </c>
      <c r="M77" s="11"/>
      <c r="N77" s="11" t="s">
        <v>67</v>
      </c>
      <c r="O77" s="11"/>
      <c r="P77" s="11"/>
      <c r="Q77" s="9" t="s">
        <v>67</v>
      </c>
    </row>
    <row r="78" customFormat="false" ht="32.8" hidden="false" customHeight="false" outlineLevel="0" collapsed="false">
      <c r="A78" s="9" t="s">
        <v>1053</v>
      </c>
      <c r="B78" s="10" t="s">
        <v>34</v>
      </c>
      <c r="C78" s="9" t="s">
        <v>368</v>
      </c>
      <c r="D78" s="9" t="s">
        <v>369</v>
      </c>
      <c r="E78" s="9" t="n">
        <v>7</v>
      </c>
      <c r="F78" s="9"/>
      <c r="G78" s="9" t="s">
        <v>1036</v>
      </c>
      <c r="H78" s="9" t="s">
        <v>52</v>
      </c>
      <c r="I78" s="9" t="s">
        <v>1054</v>
      </c>
      <c r="J78" s="9" t="s">
        <v>1055</v>
      </c>
      <c r="K78" s="9" t="s">
        <v>152</v>
      </c>
      <c r="L78" s="9" t="s">
        <v>154</v>
      </c>
      <c r="M78" s="11"/>
      <c r="N78" s="11" t="s">
        <v>67</v>
      </c>
      <c r="O78" s="11"/>
      <c r="P78" s="11"/>
      <c r="Q78" s="9" t="s">
        <v>67</v>
      </c>
    </row>
    <row r="79" customFormat="false" ht="32.8" hidden="false" customHeight="false" outlineLevel="0" collapsed="false">
      <c r="A79" s="9" t="s">
        <v>1056</v>
      </c>
      <c r="B79" s="10" t="s">
        <v>34</v>
      </c>
      <c r="C79" s="9" t="s">
        <v>368</v>
      </c>
      <c r="D79" s="9" t="s">
        <v>369</v>
      </c>
      <c r="E79" s="9" t="n">
        <v>7</v>
      </c>
      <c r="F79" s="9"/>
      <c r="G79" s="9" t="s">
        <v>1039</v>
      </c>
      <c r="H79" s="9" t="s">
        <v>52</v>
      </c>
      <c r="I79" s="9" t="s">
        <v>1057</v>
      </c>
      <c r="J79" s="9" t="s">
        <v>1058</v>
      </c>
      <c r="K79" s="9" t="s">
        <v>152</v>
      </c>
      <c r="L79" s="9" t="s">
        <v>154</v>
      </c>
      <c r="M79" s="11"/>
      <c r="N79" s="11" t="s">
        <v>67</v>
      </c>
      <c r="O79" s="11"/>
      <c r="P79" s="11"/>
      <c r="Q79" s="9" t="s">
        <v>67</v>
      </c>
    </row>
    <row r="80" customFormat="false" ht="32.8" hidden="false" customHeight="false" outlineLevel="0" collapsed="false">
      <c r="A80" s="9" t="s">
        <v>1059</v>
      </c>
      <c r="B80" s="10" t="s">
        <v>34</v>
      </c>
      <c r="C80" s="9" t="s">
        <v>368</v>
      </c>
      <c r="D80" s="9" t="s">
        <v>369</v>
      </c>
      <c r="E80" s="9" t="n">
        <v>7</v>
      </c>
      <c r="F80" s="9"/>
      <c r="G80" s="9" t="s">
        <v>1042</v>
      </c>
      <c r="H80" s="9" t="s">
        <v>52</v>
      </c>
      <c r="I80" s="9" t="s">
        <v>1060</v>
      </c>
      <c r="J80" s="9" t="s">
        <v>1061</v>
      </c>
      <c r="K80" s="9" t="s">
        <v>152</v>
      </c>
      <c r="L80" s="9" t="s">
        <v>154</v>
      </c>
      <c r="M80" s="11"/>
      <c r="N80" s="11" t="s">
        <v>67</v>
      </c>
      <c r="O80" s="11"/>
      <c r="P80" s="11"/>
      <c r="Q80" s="9" t="s">
        <v>67</v>
      </c>
    </row>
    <row r="81" customFormat="false" ht="22.35" hidden="false" customHeight="false" outlineLevel="0" collapsed="false">
      <c r="A81" s="9" t="s">
        <v>1062</v>
      </c>
      <c r="B81" s="10" t="s">
        <v>34</v>
      </c>
      <c r="C81" s="9" t="s">
        <v>368</v>
      </c>
      <c r="D81" s="9" t="s">
        <v>369</v>
      </c>
      <c r="E81" s="9" t="n">
        <v>8</v>
      </c>
      <c r="F81" s="9"/>
      <c r="G81" s="9" t="s">
        <v>925</v>
      </c>
      <c r="H81" s="9" t="s">
        <v>53</v>
      </c>
      <c r="I81" s="9" t="s">
        <v>926</v>
      </c>
      <c r="J81" s="9" t="s">
        <v>1063</v>
      </c>
      <c r="K81" s="9" t="s">
        <v>185</v>
      </c>
      <c r="L81" s="9" t="s">
        <v>154</v>
      </c>
      <c r="M81" s="11"/>
      <c r="N81" s="11" t="s">
        <v>81</v>
      </c>
      <c r="O81" s="11"/>
      <c r="P81" s="11"/>
      <c r="Q81" s="9" t="s">
        <v>81</v>
      </c>
    </row>
    <row r="82" customFormat="false" ht="32.8" hidden="false" customHeight="false" outlineLevel="0" collapsed="false">
      <c r="A82" s="9" t="s">
        <v>1064</v>
      </c>
      <c r="B82" s="14" t="s">
        <v>40</v>
      </c>
      <c r="C82" s="9" t="s">
        <v>373</v>
      </c>
      <c r="D82" s="9" t="s">
        <v>374</v>
      </c>
      <c r="E82" s="9" t="n">
        <v>4</v>
      </c>
      <c r="F82" s="9"/>
      <c r="G82" s="9" t="s">
        <v>1065</v>
      </c>
      <c r="H82" s="9" t="s">
        <v>50</v>
      </c>
      <c r="I82" s="9" t="s">
        <v>994</v>
      </c>
      <c r="J82" s="9" t="s">
        <v>1066</v>
      </c>
      <c r="K82" s="9" t="s">
        <v>185</v>
      </c>
      <c r="L82" s="9" t="s">
        <v>154</v>
      </c>
      <c r="M82" s="11"/>
      <c r="N82" s="11" t="s">
        <v>101</v>
      </c>
      <c r="O82" s="11"/>
      <c r="P82" s="11"/>
      <c r="Q82" s="9" t="s">
        <v>101</v>
      </c>
    </row>
    <row r="83" customFormat="false" ht="32.8" hidden="false" customHeight="false" outlineLevel="0" collapsed="false">
      <c r="A83" s="9" t="s">
        <v>1067</v>
      </c>
      <c r="B83" s="14" t="s">
        <v>40</v>
      </c>
      <c r="C83" s="9" t="s">
        <v>373</v>
      </c>
      <c r="D83" s="9" t="s">
        <v>374</v>
      </c>
      <c r="E83" s="9" t="n">
        <v>4</v>
      </c>
      <c r="F83" s="9"/>
      <c r="G83" s="9" t="s">
        <v>1068</v>
      </c>
      <c r="H83" s="9" t="s">
        <v>50</v>
      </c>
      <c r="I83" s="9" t="s">
        <v>994</v>
      </c>
      <c r="J83" s="9" t="s">
        <v>1066</v>
      </c>
      <c r="K83" s="9" t="s">
        <v>185</v>
      </c>
      <c r="L83" s="9" t="s">
        <v>154</v>
      </c>
      <c r="M83" s="11"/>
      <c r="N83" s="11" t="s">
        <v>101</v>
      </c>
      <c r="O83" s="11"/>
      <c r="P83" s="11"/>
      <c r="Q83" s="9" t="s">
        <v>101</v>
      </c>
    </row>
    <row r="84" customFormat="false" ht="32.8" hidden="false" customHeight="false" outlineLevel="0" collapsed="false">
      <c r="A84" s="9" t="s">
        <v>1069</v>
      </c>
      <c r="B84" s="14" t="s">
        <v>40</v>
      </c>
      <c r="C84" s="9" t="s">
        <v>373</v>
      </c>
      <c r="D84" s="9" t="s">
        <v>374</v>
      </c>
      <c r="E84" s="9" t="n">
        <v>4</v>
      </c>
      <c r="F84" s="9"/>
      <c r="G84" s="9" t="s">
        <v>1070</v>
      </c>
      <c r="H84" s="9" t="s">
        <v>50</v>
      </c>
      <c r="I84" s="9" t="s">
        <v>994</v>
      </c>
      <c r="J84" s="9" t="s">
        <v>1066</v>
      </c>
      <c r="K84" s="9" t="s">
        <v>185</v>
      </c>
      <c r="L84" s="9" t="s">
        <v>154</v>
      </c>
      <c r="M84" s="11"/>
      <c r="N84" s="11" t="s">
        <v>101</v>
      </c>
      <c r="O84" s="11"/>
      <c r="P84" s="11"/>
      <c r="Q84" s="9" t="s">
        <v>101</v>
      </c>
    </row>
    <row r="85" customFormat="false" ht="32.8" hidden="false" customHeight="false" outlineLevel="0" collapsed="false">
      <c r="A85" s="9" t="s">
        <v>1071</v>
      </c>
      <c r="B85" s="14" t="s">
        <v>40</v>
      </c>
      <c r="C85" s="9" t="s">
        <v>373</v>
      </c>
      <c r="D85" s="9" t="s">
        <v>374</v>
      </c>
      <c r="E85" s="9" t="n">
        <v>4</v>
      </c>
      <c r="F85" s="9"/>
      <c r="G85" s="9" t="s">
        <v>1072</v>
      </c>
      <c r="H85" s="9" t="s">
        <v>50</v>
      </c>
      <c r="I85" s="9" t="s">
        <v>994</v>
      </c>
      <c r="J85" s="9" t="s">
        <v>1066</v>
      </c>
      <c r="K85" s="9" t="s">
        <v>185</v>
      </c>
      <c r="L85" s="9" t="s">
        <v>154</v>
      </c>
      <c r="M85" s="11"/>
      <c r="N85" s="11" t="s">
        <v>101</v>
      </c>
      <c r="O85" s="11"/>
      <c r="P85" s="11"/>
      <c r="Q85" s="9" t="s">
        <v>101</v>
      </c>
    </row>
    <row r="86" customFormat="false" ht="32.8" hidden="false" customHeight="false" outlineLevel="0" collapsed="false">
      <c r="A86" s="9" t="s">
        <v>1073</v>
      </c>
      <c r="B86" s="10" t="s">
        <v>34</v>
      </c>
      <c r="C86" s="9" t="s">
        <v>373</v>
      </c>
      <c r="D86" s="9" t="s">
        <v>374</v>
      </c>
      <c r="E86" s="9" t="n">
        <v>10</v>
      </c>
      <c r="F86" s="9"/>
      <c r="G86" s="9" t="s">
        <v>1070</v>
      </c>
      <c r="H86" s="9" t="s">
        <v>51</v>
      </c>
      <c r="I86" s="9" t="s">
        <v>1074</v>
      </c>
      <c r="J86" s="9" t="s">
        <v>1075</v>
      </c>
      <c r="K86" s="9" t="s">
        <v>152</v>
      </c>
      <c r="L86" s="9" t="s">
        <v>154</v>
      </c>
      <c r="M86" s="11"/>
      <c r="N86" s="11" t="s">
        <v>66</v>
      </c>
      <c r="O86" s="11"/>
      <c r="P86" s="11"/>
      <c r="Q86" s="9" t="s">
        <v>66</v>
      </c>
    </row>
    <row r="87" customFormat="false" ht="32.8" hidden="false" customHeight="false" outlineLevel="0" collapsed="false">
      <c r="A87" s="9" t="s">
        <v>1076</v>
      </c>
      <c r="B87" s="10" t="s">
        <v>34</v>
      </c>
      <c r="C87" s="9" t="s">
        <v>373</v>
      </c>
      <c r="D87" s="9" t="s">
        <v>374</v>
      </c>
      <c r="E87" s="9" t="n">
        <v>10</v>
      </c>
      <c r="F87" s="9"/>
      <c r="G87" s="9" t="s">
        <v>1072</v>
      </c>
      <c r="H87" s="9" t="s">
        <v>51</v>
      </c>
      <c r="I87" s="9" t="s">
        <v>1074</v>
      </c>
      <c r="J87" s="9" t="s">
        <v>1075</v>
      </c>
      <c r="K87" s="9" t="s">
        <v>152</v>
      </c>
      <c r="L87" s="9" t="s">
        <v>154</v>
      </c>
      <c r="M87" s="11"/>
      <c r="N87" s="11" t="s">
        <v>66</v>
      </c>
      <c r="O87" s="11"/>
      <c r="P87" s="11"/>
      <c r="Q87" s="9" t="s">
        <v>66</v>
      </c>
    </row>
    <row r="88" customFormat="false" ht="22.35" hidden="false" customHeight="false" outlineLevel="0" collapsed="false">
      <c r="A88" s="9" t="s">
        <v>1077</v>
      </c>
      <c r="B88" s="10" t="s">
        <v>34</v>
      </c>
      <c r="C88" s="9" t="s">
        <v>1078</v>
      </c>
      <c r="D88" s="9" t="s">
        <v>1079</v>
      </c>
      <c r="E88" s="9" t="n">
        <v>5</v>
      </c>
      <c r="F88" s="9"/>
      <c r="G88" s="9" t="s">
        <v>1080</v>
      </c>
      <c r="H88" s="9" t="s">
        <v>48</v>
      </c>
      <c r="I88" s="9" t="s">
        <v>1007</v>
      </c>
      <c r="J88" s="9" t="s">
        <v>1081</v>
      </c>
      <c r="K88" s="9" t="s">
        <v>185</v>
      </c>
      <c r="L88" s="9" t="s">
        <v>154</v>
      </c>
      <c r="M88" s="11"/>
      <c r="N88" s="11" t="s">
        <v>80</v>
      </c>
      <c r="O88" s="11"/>
      <c r="P88" s="11"/>
      <c r="Q88" s="9" t="s">
        <v>80</v>
      </c>
    </row>
    <row r="89" customFormat="false" ht="22.35" hidden="false" customHeight="false" outlineLevel="0" collapsed="false">
      <c r="A89" s="9" t="s">
        <v>1082</v>
      </c>
      <c r="B89" s="10" t="s">
        <v>34</v>
      </c>
      <c r="C89" s="9" t="s">
        <v>1078</v>
      </c>
      <c r="D89" s="9" t="s">
        <v>1079</v>
      </c>
      <c r="E89" s="9" t="n">
        <v>5</v>
      </c>
      <c r="F89" s="9"/>
      <c r="G89" s="9" t="s">
        <v>1080</v>
      </c>
      <c r="H89" s="9" t="s">
        <v>49</v>
      </c>
      <c r="I89" s="9" t="s">
        <v>1007</v>
      </c>
      <c r="J89" s="9" t="s">
        <v>1081</v>
      </c>
      <c r="K89" s="9" t="s">
        <v>185</v>
      </c>
      <c r="L89" s="9" t="s">
        <v>154</v>
      </c>
      <c r="M89" s="11"/>
      <c r="N89" s="11" t="s">
        <v>80</v>
      </c>
      <c r="O89" s="11"/>
      <c r="P89" s="11"/>
      <c r="Q89" s="9" t="s">
        <v>80</v>
      </c>
    </row>
    <row r="90" customFormat="false" ht="22.35" hidden="false" customHeight="false" outlineLevel="0" collapsed="false">
      <c r="A90" s="9" t="s">
        <v>1083</v>
      </c>
      <c r="B90" s="10" t="s">
        <v>34</v>
      </c>
      <c r="C90" s="9" t="s">
        <v>1078</v>
      </c>
      <c r="D90" s="9" t="s">
        <v>1079</v>
      </c>
      <c r="E90" s="9" t="n">
        <v>11</v>
      </c>
      <c r="F90" s="9"/>
      <c r="G90" s="9" t="s">
        <v>1084</v>
      </c>
      <c r="H90" s="9" t="s">
        <v>48</v>
      </c>
      <c r="I90" s="9" t="s">
        <v>1007</v>
      </c>
      <c r="J90" s="9" t="s">
        <v>1085</v>
      </c>
      <c r="K90" s="9" t="s">
        <v>185</v>
      </c>
      <c r="L90" s="9" t="s">
        <v>154</v>
      </c>
      <c r="M90" s="11"/>
      <c r="N90" s="11" t="s">
        <v>80</v>
      </c>
      <c r="O90" s="11"/>
      <c r="P90" s="11"/>
      <c r="Q90" s="9" t="s">
        <v>80</v>
      </c>
    </row>
    <row r="91" customFormat="false" ht="22.35" hidden="false" customHeight="false" outlineLevel="0" collapsed="false">
      <c r="A91" s="9" t="s">
        <v>1086</v>
      </c>
      <c r="B91" s="10" t="s">
        <v>34</v>
      </c>
      <c r="C91" s="9" t="s">
        <v>1078</v>
      </c>
      <c r="D91" s="9" t="s">
        <v>1079</v>
      </c>
      <c r="E91" s="9" t="n">
        <v>11</v>
      </c>
      <c r="F91" s="9"/>
      <c r="G91" s="9" t="s">
        <v>1084</v>
      </c>
      <c r="H91" s="9" t="s">
        <v>49</v>
      </c>
      <c r="I91" s="9" t="s">
        <v>1007</v>
      </c>
      <c r="J91" s="9" t="s">
        <v>1085</v>
      </c>
      <c r="K91" s="9" t="s">
        <v>185</v>
      </c>
      <c r="L91" s="9" t="s">
        <v>154</v>
      </c>
      <c r="M91" s="11"/>
      <c r="N91" s="11" t="s">
        <v>80</v>
      </c>
      <c r="O91" s="11"/>
      <c r="P91" s="11"/>
      <c r="Q91" s="9" t="s">
        <v>80</v>
      </c>
    </row>
    <row r="92" customFormat="false" ht="32.8" hidden="false" customHeight="false" outlineLevel="0" collapsed="false">
      <c r="A92" s="9" t="s">
        <v>1087</v>
      </c>
      <c r="B92" s="14" t="s">
        <v>40</v>
      </c>
      <c r="C92" s="9" t="s">
        <v>406</v>
      </c>
      <c r="D92" s="9" t="s">
        <v>407</v>
      </c>
      <c r="E92" s="9" t="n">
        <v>3</v>
      </c>
      <c r="F92" s="9"/>
      <c r="G92" s="9" t="s">
        <v>1088</v>
      </c>
      <c r="H92" s="9" t="s">
        <v>51</v>
      </c>
      <c r="I92" s="9" t="s">
        <v>1089</v>
      </c>
      <c r="J92" s="9" t="s">
        <v>1090</v>
      </c>
      <c r="K92" s="9" t="s">
        <v>185</v>
      </c>
      <c r="L92" s="9" t="s">
        <v>154</v>
      </c>
      <c r="M92" s="11"/>
      <c r="N92" s="11" t="s">
        <v>79</v>
      </c>
      <c r="O92" s="11"/>
      <c r="P92" s="11"/>
      <c r="Q92" s="9" t="s">
        <v>79</v>
      </c>
    </row>
    <row r="93" customFormat="false" ht="32.8" hidden="false" customHeight="false" outlineLevel="0" collapsed="false">
      <c r="A93" s="9" t="s">
        <v>1091</v>
      </c>
      <c r="B93" s="10" t="s">
        <v>34</v>
      </c>
      <c r="C93" s="9" t="s">
        <v>415</v>
      </c>
      <c r="D93" s="9" t="s">
        <v>416</v>
      </c>
      <c r="E93" s="9" t="n">
        <v>17</v>
      </c>
      <c r="F93" s="9"/>
      <c r="G93" s="9" t="s">
        <v>1092</v>
      </c>
      <c r="H93" s="9" t="s">
        <v>51</v>
      </c>
      <c r="I93" s="9" t="s">
        <v>1093</v>
      </c>
      <c r="J93" s="9" t="s">
        <v>1094</v>
      </c>
      <c r="K93" s="9" t="s">
        <v>152</v>
      </c>
      <c r="L93" s="9" t="s">
        <v>154</v>
      </c>
      <c r="M93" s="11"/>
      <c r="N93" s="11" t="s">
        <v>66</v>
      </c>
      <c r="O93" s="11"/>
      <c r="P93" s="11"/>
      <c r="Q93" s="9" t="s">
        <v>66</v>
      </c>
    </row>
    <row r="94" customFormat="false" ht="22.35" hidden="false" customHeight="false" outlineLevel="0" collapsed="false">
      <c r="A94" s="9" t="s">
        <v>1095</v>
      </c>
      <c r="B94" s="10" t="s">
        <v>34</v>
      </c>
      <c r="C94" s="9" t="s">
        <v>415</v>
      </c>
      <c r="D94" s="9" t="s">
        <v>416</v>
      </c>
      <c r="E94" s="9" t="n">
        <v>17</v>
      </c>
      <c r="F94" s="9"/>
      <c r="G94" s="9" t="s">
        <v>1096</v>
      </c>
      <c r="H94" s="9" t="s">
        <v>51</v>
      </c>
      <c r="I94" s="9" t="s">
        <v>1097</v>
      </c>
      <c r="J94" s="9" t="s">
        <v>1098</v>
      </c>
      <c r="K94" s="9" t="s">
        <v>152</v>
      </c>
      <c r="L94" s="9" t="s">
        <v>154</v>
      </c>
      <c r="M94" s="11"/>
      <c r="N94" s="11" t="s">
        <v>66</v>
      </c>
      <c r="O94" s="11"/>
      <c r="P94" s="11"/>
      <c r="Q94" s="9" t="s">
        <v>66</v>
      </c>
    </row>
    <row r="95" customFormat="false" ht="22.35" hidden="false" customHeight="false" outlineLevel="0" collapsed="false">
      <c r="A95" s="9" t="s">
        <v>1099</v>
      </c>
      <c r="B95" s="10" t="s">
        <v>34</v>
      </c>
      <c r="C95" s="9" t="s">
        <v>415</v>
      </c>
      <c r="D95" s="9" t="s">
        <v>416</v>
      </c>
      <c r="E95" s="9" t="n">
        <v>17</v>
      </c>
      <c r="F95" s="9"/>
      <c r="G95" s="9" t="s">
        <v>1100</v>
      </c>
      <c r="H95" s="9" t="s">
        <v>51</v>
      </c>
      <c r="I95" s="9" t="s">
        <v>1101</v>
      </c>
      <c r="J95" s="9" t="s">
        <v>1102</v>
      </c>
      <c r="K95" s="9" t="s">
        <v>152</v>
      </c>
      <c r="L95" s="9" t="s">
        <v>154</v>
      </c>
      <c r="M95" s="11"/>
      <c r="N95" s="11" t="s">
        <v>66</v>
      </c>
      <c r="O95" s="11"/>
      <c r="P95" s="11"/>
      <c r="Q95" s="9" t="s">
        <v>66</v>
      </c>
    </row>
    <row r="96" customFormat="false" ht="32.8" hidden="false" customHeight="false" outlineLevel="0" collapsed="false">
      <c r="A96" s="9" t="s">
        <v>1103</v>
      </c>
      <c r="B96" s="10" t="s">
        <v>34</v>
      </c>
      <c r="C96" s="9" t="s">
        <v>415</v>
      </c>
      <c r="D96" s="9" t="s">
        <v>416</v>
      </c>
      <c r="E96" s="9" t="n">
        <v>17</v>
      </c>
      <c r="F96" s="9"/>
      <c r="G96" s="9" t="s">
        <v>1104</v>
      </c>
      <c r="H96" s="9" t="s">
        <v>51</v>
      </c>
      <c r="I96" s="9" t="s">
        <v>1105</v>
      </c>
      <c r="J96" s="9" t="s">
        <v>1094</v>
      </c>
      <c r="K96" s="9" t="s">
        <v>185</v>
      </c>
      <c r="L96" s="9" t="s">
        <v>154</v>
      </c>
      <c r="M96" s="11"/>
      <c r="N96" s="11" t="s">
        <v>66</v>
      </c>
      <c r="O96" s="11"/>
      <c r="P96" s="11"/>
      <c r="Q96" s="9" t="s">
        <v>66</v>
      </c>
    </row>
    <row r="97" customFormat="false" ht="32.8" hidden="false" customHeight="false" outlineLevel="0" collapsed="false">
      <c r="A97" s="9" t="s">
        <v>1106</v>
      </c>
      <c r="B97" s="10" t="s">
        <v>34</v>
      </c>
      <c r="C97" s="9" t="s">
        <v>415</v>
      </c>
      <c r="D97" s="9" t="s">
        <v>416</v>
      </c>
      <c r="E97" s="9" t="n">
        <v>17</v>
      </c>
      <c r="F97" s="9"/>
      <c r="G97" s="9" t="s">
        <v>1107</v>
      </c>
      <c r="H97" s="9" t="s">
        <v>51</v>
      </c>
      <c r="I97" s="9" t="s">
        <v>1097</v>
      </c>
      <c r="J97" s="9" t="s">
        <v>1098</v>
      </c>
      <c r="K97" s="9" t="s">
        <v>185</v>
      </c>
      <c r="L97" s="9" t="s">
        <v>154</v>
      </c>
      <c r="M97" s="11"/>
      <c r="N97" s="11" t="s">
        <v>66</v>
      </c>
      <c r="O97" s="11"/>
      <c r="P97" s="11"/>
      <c r="Q97" s="9" t="s">
        <v>66</v>
      </c>
    </row>
    <row r="98" customFormat="false" ht="32.8" hidden="false" customHeight="false" outlineLevel="0" collapsed="false">
      <c r="A98" s="9" t="s">
        <v>1108</v>
      </c>
      <c r="B98" s="10" t="s">
        <v>34</v>
      </c>
      <c r="C98" s="9" t="s">
        <v>415</v>
      </c>
      <c r="D98" s="9" t="s">
        <v>416</v>
      </c>
      <c r="E98" s="9" t="n">
        <v>17</v>
      </c>
      <c r="F98" s="9"/>
      <c r="G98" s="9" t="s">
        <v>1109</v>
      </c>
      <c r="H98" s="9" t="s">
        <v>51</v>
      </c>
      <c r="I98" s="9" t="s">
        <v>1101</v>
      </c>
      <c r="J98" s="9" t="s">
        <v>1102</v>
      </c>
      <c r="K98" s="9" t="s">
        <v>185</v>
      </c>
      <c r="L98" s="9" t="s">
        <v>154</v>
      </c>
      <c r="M98" s="11"/>
      <c r="N98" s="11" t="s">
        <v>66</v>
      </c>
      <c r="O98" s="11"/>
      <c r="P98" s="11"/>
      <c r="Q98" s="9" t="s">
        <v>66</v>
      </c>
    </row>
    <row r="99" customFormat="false" ht="32.8" hidden="false" customHeight="false" outlineLevel="0" collapsed="false">
      <c r="A99" s="9" t="s">
        <v>1110</v>
      </c>
      <c r="B99" s="10" t="s">
        <v>34</v>
      </c>
      <c r="C99" s="9" t="s">
        <v>415</v>
      </c>
      <c r="D99" s="9" t="s">
        <v>416</v>
      </c>
      <c r="E99" s="9" t="n">
        <v>19</v>
      </c>
      <c r="F99" s="9"/>
      <c r="G99" s="9" t="s">
        <v>1111</v>
      </c>
      <c r="H99" s="9" t="s">
        <v>51</v>
      </c>
      <c r="I99" s="9" t="s">
        <v>1112</v>
      </c>
      <c r="J99" s="9" t="s">
        <v>1113</v>
      </c>
      <c r="K99" s="9" t="s">
        <v>185</v>
      </c>
      <c r="L99" s="9" t="s">
        <v>154</v>
      </c>
      <c r="M99" s="11"/>
      <c r="N99" s="11" t="s">
        <v>66</v>
      </c>
      <c r="O99" s="11"/>
      <c r="P99" s="11"/>
      <c r="Q99" s="9" t="s">
        <v>66</v>
      </c>
    </row>
    <row r="100" customFormat="false" ht="32.8" hidden="false" customHeight="false" outlineLevel="0" collapsed="false">
      <c r="A100" s="9" t="s">
        <v>1114</v>
      </c>
      <c r="B100" s="10" t="s">
        <v>34</v>
      </c>
      <c r="C100" s="9" t="s">
        <v>415</v>
      </c>
      <c r="D100" s="9" t="s">
        <v>416</v>
      </c>
      <c r="E100" s="9" t="n">
        <v>19</v>
      </c>
      <c r="F100" s="9"/>
      <c r="G100" s="9" t="s">
        <v>1115</v>
      </c>
      <c r="H100" s="9" t="s">
        <v>51</v>
      </c>
      <c r="I100" s="9" t="s">
        <v>1116</v>
      </c>
      <c r="J100" s="9" t="s">
        <v>1117</v>
      </c>
      <c r="K100" s="9" t="s">
        <v>185</v>
      </c>
      <c r="L100" s="9" t="s">
        <v>154</v>
      </c>
      <c r="M100" s="11"/>
      <c r="N100" s="11" t="s">
        <v>66</v>
      </c>
      <c r="O100" s="11"/>
      <c r="P100" s="11"/>
      <c r="Q100" s="9" t="s">
        <v>66</v>
      </c>
    </row>
    <row r="101" customFormat="false" ht="32.8" hidden="false" customHeight="false" outlineLevel="0" collapsed="false">
      <c r="A101" s="9" t="s">
        <v>1118</v>
      </c>
      <c r="B101" s="10" t="s">
        <v>34</v>
      </c>
      <c r="C101" s="9" t="s">
        <v>415</v>
      </c>
      <c r="D101" s="9" t="s">
        <v>416</v>
      </c>
      <c r="E101" s="9" t="n">
        <v>19</v>
      </c>
      <c r="F101" s="9"/>
      <c r="G101" s="9" t="s">
        <v>1119</v>
      </c>
      <c r="H101" s="9" t="s">
        <v>51</v>
      </c>
      <c r="I101" s="9" t="s">
        <v>1120</v>
      </c>
      <c r="J101" s="9" t="s">
        <v>1121</v>
      </c>
      <c r="K101" s="9" t="s">
        <v>185</v>
      </c>
      <c r="L101" s="9" t="s">
        <v>154</v>
      </c>
      <c r="M101" s="11"/>
      <c r="N101" s="11" t="s">
        <v>66</v>
      </c>
      <c r="O101" s="11"/>
      <c r="P101" s="11"/>
      <c r="Q101" s="9" t="s">
        <v>66</v>
      </c>
    </row>
    <row r="102" customFormat="false" ht="32.8" hidden="false" customHeight="false" outlineLevel="0" collapsed="false">
      <c r="A102" s="9" t="s">
        <v>1122</v>
      </c>
      <c r="B102" s="10" t="s">
        <v>34</v>
      </c>
      <c r="C102" s="9" t="s">
        <v>415</v>
      </c>
      <c r="D102" s="9" t="s">
        <v>416</v>
      </c>
      <c r="E102" s="9" t="n">
        <v>19</v>
      </c>
      <c r="F102" s="9"/>
      <c r="G102" s="9" t="s">
        <v>1123</v>
      </c>
      <c r="H102" s="9" t="s">
        <v>51</v>
      </c>
      <c r="I102" s="9" t="s">
        <v>1116</v>
      </c>
      <c r="J102" s="9" t="s">
        <v>1124</v>
      </c>
      <c r="K102" s="9" t="s">
        <v>185</v>
      </c>
      <c r="L102" s="9" t="s">
        <v>154</v>
      </c>
      <c r="M102" s="11"/>
      <c r="N102" s="11" t="s">
        <v>66</v>
      </c>
      <c r="O102" s="11"/>
      <c r="P102" s="11"/>
      <c r="Q102" s="9" t="s">
        <v>66</v>
      </c>
    </row>
    <row r="103" customFormat="false" ht="32.8" hidden="false" customHeight="false" outlineLevel="0" collapsed="false">
      <c r="A103" s="9" t="s">
        <v>1125</v>
      </c>
      <c r="B103" s="10" t="s">
        <v>34</v>
      </c>
      <c r="C103" s="9" t="s">
        <v>415</v>
      </c>
      <c r="D103" s="9" t="s">
        <v>416</v>
      </c>
      <c r="E103" s="9" t="n">
        <v>22</v>
      </c>
      <c r="F103" s="9"/>
      <c r="G103" s="9" t="s">
        <v>1126</v>
      </c>
      <c r="H103" s="9" t="s">
        <v>51</v>
      </c>
      <c r="I103" s="9" t="s">
        <v>1127</v>
      </c>
      <c r="J103" s="9" t="s">
        <v>1128</v>
      </c>
      <c r="K103" s="9" t="s">
        <v>152</v>
      </c>
      <c r="L103" s="9" t="s">
        <v>154</v>
      </c>
      <c r="M103" s="11"/>
      <c r="N103" s="11" t="s">
        <v>66</v>
      </c>
      <c r="O103" s="11"/>
      <c r="P103" s="11"/>
      <c r="Q103" s="9" t="s">
        <v>66</v>
      </c>
    </row>
    <row r="104" customFormat="false" ht="22.35" hidden="false" customHeight="false" outlineLevel="0" collapsed="false">
      <c r="A104" s="9" t="s">
        <v>1129</v>
      </c>
      <c r="B104" s="10" t="s">
        <v>34</v>
      </c>
      <c r="C104" s="9" t="s">
        <v>438</v>
      </c>
      <c r="D104" s="9" t="s">
        <v>439</v>
      </c>
      <c r="E104" s="9" t="n">
        <v>2</v>
      </c>
      <c r="F104" s="9"/>
      <c r="G104" s="9" t="s">
        <v>925</v>
      </c>
      <c r="H104" s="9" t="s">
        <v>53</v>
      </c>
      <c r="I104" s="9" t="s">
        <v>926</v>
      </c>
      <c r="J104" s="9" t="s">
        <v>1130</v>
      </c>
      <c r="K104" s="9" t="s">
        <v>185</v>
      </c>
      <c r="L104" s="9" t="s">
        <v>154</v>
      </c>
      <c r="M104" s="11"/>
      <c r="N104" s="11" t="s">
        <v>81</v>
      </c>
      <c r="O104" s="11"/>
      <c r="P104" s="11"/>
      <c r="Q104" s="9" t="s">
        <v>81</v>
      </c>
    </row>
    <row r="105" customFormat="false" ht="22.35" hidden="false" customHeight="false" outlineLevel="0" collapsed="false">
      <c r="A105" s="9" t="s">
        <v>1131</v>
      </c>
      <c r="B105" s="10" t="s">
        <v>34</v>
      </c>
      <c r="C105" s="9" t="s">
        <v>456</v>
      </c>
      <c r="D105" s="9" t="s">
        <v>457</v>
      </c>
      <c r="E105" s="9" t="n">
        <v>5</v>
      </c>
      <c r="F105" s="9"/>
      <c r="G105" s="9" t="s">
        <v>925</v>
      </c>
      <c r="H105" s="9" t="s">
        <v>53</v>
      </c>
      <c r="I105" s="9" t="s">
        <v>926</v>
      </c>
      <c r="J105" s="9" t="s">
        <v>1132</v>
      </c>
      <c r="K105" s="9" t="s">
        <v>152</v>
      </c>
      <c r="L105" s="9" t="s">
        <v>154</v>
      </c>
      <c r="M105" s="11"/>
      <c r="N105" s="11" t="s">
        <v>68</v>
      </c>
      <c r="O105" s="11"/>
      <c r="P105" s="11"/>
      <c r="Q105" s="9" t="s">
        <v>68</v>
      </c>
    </row>
    <row r="106" customFormat="false" ht="43.25" hidden="false" customHeight="false" outlineLevel="0" collapsed="false">
      <c r="A106" s="9" t="s">
        <v>1133</v>
      </c>
      <c r="B106" s="10" t="s">
        <v>34</v>
      </c>
      <c r="C106" s="9" t="s">
        <v>464</v>
      </c>
      <c r="D106" s="9" t="s">
        <v>465</v>
      </c>
      <c r="E106" s="9" t="n">
        <v>10</v>
      </c>
      <c r="F106" s="9"/>
      <c r="G106" s="9" t="s">
        <v>1134</v>
      </c>
      <c r="H106" s="9" t="s">
        <v>48</v>
      </c>
      <c r="I106" s="9" t="s">
        <v>1007</v>
      </c>
      <c r="J106" s="9" t="s">
        <v>466</v>
      </c>
      <c r="K106" s="9" t="s">
        <v>185</v>
      </c>
      <c r="L106" s="9" t="s">
        <v>154</v>
      </c>
      <c r="M106" s="11"/>
      <c r="N106" s="11" t="s">
        <v>80</v>
      </c>
      <c r="O106" s="11"/>
      <c r="P106" s="11"/>
      <c r="Q106" s="9" t="s">
        <v>80</v>
      </c>
    </row>
    <row r="107" customFormat="false" ht="43.25" hidden="false" customHeight="false" outlineLevel="0" collapsed="false">
      <c r="A107" s="9" t="s">
        <v>1135</v>
      </c>
      <c r="B107" s="10" t="s">
        <v>34</v>
      </c>
      <c r="C107" s="9" t="s">
        <v>464</v>
      </c>
      <c r="D107" s="9" t="s">
        <v>465</v>
      </c>
      <c r="E107" s="9" t="n">
        <v>10</v>
      </c>
      <c r="F107" s="9"/>
      <c r="G107" s="9" t="s">
        <v>1134</v>
      </c>
      <c r="H107" s="9" t="s">
        <v>49</v>
      </c>
      <c r="I107" s="9" t="s">
        <v>1007</v>
      </c>
      <c r="J107" s="9" t="s">
        <v>466</v>
      </c>
      <c r="K107" s="9" t="s">
        <v>185</v>
      </c>
      <c r="L107" s="9" t="s">
        <v>154</v>
      </c>
      <c r="M107" s="11"/>
      <c r="N107" s="11" t="s">
        <v>100</v>
      </c>
      <c r="O107" s="11"/>
      <c r="P107" s="11"/>
      <c r="Q107" s="9" t="s">
        <v>100</v>
      </c>
    </row>
    <row r="108" customFormat="false" ht="22.35" hidden="false" customHeight="false" outlineLevel="0" collapsed="false">
      <c r="A108" s="9" t="s">
        <v>1136</v>
      </c>
      <c r="B108" s="10" t="s">
        <v>34</v>
      </c>
      <c r="C108" s="9" t="s">
        <v>464</v>
      </c>
      <c r="D108" s="9" t="s">
        <v>465</v>
      </c>
      <c r="E108" s="9" t="n">
        <v>11</v>
      </c>
      <c r="F108" s="9"/>
      <c r="G108" s="9" t="s">
        <v>925</v>
      </c>
      <c r="H108" s="9" t="s">
        <v>53</v>
      </c>
      <c r="I108" s="9" t="s">
        <v>926</v>
      </c>
      <c r="J108" s="9" t="s">
        <v>1137</v>
      </c>
      <c r="K108" s="9" t="s">
        <v>152</v>
      </c>
      <c r="L108" s="9" t="s">
        <v>154</v>
      </c>
      <c r="M108" s="11"/>
      <c r="N108" s="11" t="s">
        <v>68</v>
      </c>
      <c r="O108" s="11"/>
      <c r="P108" s="11"/>
      <c r="Q108" s="9" t="s">
        <v>68</v>
      </c>
    </row>
    <row r="109" customFormat="false" ht="43.25" hidden="false" customHeight="false" outlineLevel="0" collapsed="false">
      <c r="A109" s="9" t="s">
        <v>1138</v>
      </c>
      <c r="B109" s="10" t="s">
        <v>34</v>
      </c>
      <c r="C109" s="9" t="s">
        <v>470</v>
      </c>
      <c r="D109" s="9" t="s">
        <v>471</v>
      </c>
      <c r="E109" s="9" t="n">
        <v>10</v>
      </c>
      <c r="F109" s="9"/>
      <c r="G109" s="9" t="s">
        <v>1139</v>
      </c>
      <c r="H109" s="9" t="s">
        <v>50</v>
      </c>
      <c r="I109" s="9" t="s">
        <v>909</v>
      </c>
      <c r="J109" s="9" t="s">
        <v>1140</v>
      </c>
      <c r="K109" s="9" t="s">
        <v>185</v>
      </c>
      <c r="L109" s="9" t="s">
        <v>476</v>
      </c>
      <c r="M109" s="11"/>
      <c r="N109" s="11" t="s">
        <v>107</v>
      </c>
      <c r="O109" s="11"/>
      <c r="P109" s="11"/>
      <c r="Q109" s="9" t="s">
        <v>107</v>
      </c>
    </row>
    <row r="110" customFormat="false" ht="43.25" hidden="false" customHeight="false" outlineLevel="0" collapsed="false">
      <c r="A110" s="9" t="s">
        <v>1141</v>
      </c>
      <c r="B110" s="10" t="s">
        <v>34</v>
      </c>
      <c r="C110" s="9" t="s">
        <v>470</v>
      </c>
      <c r="D110" s="9" t="s">
        <v>471</v>
      </c>
      <c r="E110" s="9" t="n">
        <v>10</v>
      </c>
      <c r="F110" s="9"/>
      <c r="G110" s="9" t="s">
        <v>1142</v>
      </c>
      <c r="H110" s="9" t="s">
        <v>50</v>
      </c>
      <c r="I110" s="9" t="s">
        <v>909</v>
      </c>
      <c r="J110" s="9" t="s">
        <v>1140</v>
      </c>
      <c r="K110" s="9" t="s">
        <v>185</v>
      </c>
      <c r="L110" s="9" t="s">
        <v>476</v>
      </c>
      <c r="M110" s="11"/>
      <c r="N110" s="11" t="s">
        <v>107</v>
      </c>
      <c r="O110" s="11"/>
      <c r="P110" s="11"/>
      <c r="Q110" s="9" t="s">
        <v>107</v>
      </c>
    </row>
    <row r="111" customFormat="false" ht="43.25" hidden="false" customHeight="false" outlineLevel="0" collapsed="false">
      <c r="A111" s="9" t="s">
        <v>1143</v>
      </c>
      <c r="B111" s="10" t="s">
        <v>34</v>
      </c>
      <c r="C111" s="9" t="s">
        <v>470</v>
      </c>
      <c r="D111" s="9" t="s">
        <v>471</v>
      </c>
      <c r="E111" s="9" t="n">
        <v>10</v>
      </c>
      <c r="F111" s="9"/>
      <c r="G111" s="9" t="s">
        <v>1144</v>
      </c>
      <c r="H111" s="9" t="s">
        <v>50</v>
      </c>
      <c r="I111" s="9" t="s">
        <v>909</v>
      </c>
      <c r="J111" s="9" t="s">
        <v>1140</v>
      </c>
      <c r="K111" s="9" t="s">
        <v>185</v>
      </c>
      <c r="L111" s="9" t="s">
        <v>476</v>
      </c>
      <c r="M111" s="11"/>
      <c r="N111" s="11" t="s">
        <v>107</v>
      </c>
      <c r="O111" s="11"/>
      <c r="P111" s="11"/>
      <c r="Q111" s="9" t="s">
        <v>107</v>
      </c>
    </row>
    <row r="112" customFormat="false" ht="32.8" hidden="false" customHeight="false" outlineLevel="0" collapsed="false">
      <c r="A112" s="9" t="s">
        <v>1145</v>
      </c>
      <c r="B112" s="10" t="s">
        <v>34</v>
      </c>
      <c r="C112" s="9" t="s">
        <v>470</v>
      </c>
      <c r="D112" s="9" t="s">
        <v>471</v>
      </c>
      <c r="E112" s="9" t="n">
        <v>27</v>
      </c>
      <c r="F112" s="9"/>
      <c r="G112" s="9" t="s">
        <v>1139</v>
      </c>
      <c r="H112" s="9" t="s">
        <v>48</v>
      </c>
      <c r="I112" s="9" t="s">
        <v>886</v>
      </c>
      <c r="J112" s="9" t="s">
        <v>1146</v>
      </c>
      <c r="K112" s="9" t="s">
        <v>185</v>
      </c>
      <c r="L112" s="9" t="s">
        <v>154</v>
      </c>
      <c r="M112" s="11"/>
      <c r="N112" s="11" t="s">
        <v>99</v>
      </c>
      <c r="O112" s="11"/>
      <c r="P112" s="11"/>
      <c r="Q112" s="9" t="s">
        <v>99</v>
      </c>
    </row>
    <row r="113" customFormat="false" ht="32.8" hidden="false" customHeight="false" outlineLevel="0" collapsed="false">
      <c r="A113" s="9" t="s">
        <v>1147</v>
      </c>
      <c r="B113" s="10" t="s">
        <v>34</v>
      </c>
      <c r="C113" s="9" t="s">
        <v>470</v>
      </c>
      <c r="D113" s="9" t="s">
        <v>471</v>
      </c>
      <c r="E113" s="9" t="n">
        <v>27</v>
      </c>
      <c r="F113" s="9"/>
      <c r="G113" s="9" t="s">
        <v>1139</v>
      </c>
      <c r="H113" s="9" t="s">
        <v>49</v>
      </c>
      <c r="I113" s="9" t="s">
        <v>886</v>
      </c>
      <c r="J113" s="9" t="s">
        <v>1146</v>
      </c>
      <c r="K113" s="9" t="s">
        <v>185</v>
      </c>
      <c r="L113" s="9" t="s">
        <v>154</v>
      </c>
      <c r="M113" s="11"/>
      <c r="N113" s="11" t="s">
        <v>64</v>
      </c>
      <c r="O113" s="11"/>
      <c r="P113" s="11"/>
      <c r="Q113" s="9" t="s">
        <v>64</v>
      </c>
    </row>
    <row r="114" customFormat="false" ht="32.8" hidden="false" customHeight="false" outlineLevel="0" collapsed="false">
      <c r="A114" s="9" t="s">
        <v>1148</v>
      </c>
      <c r="B114" s="10" t="s">
        <v>34</v>
      </c>
      <c r="C114" s="9" t="s">
        <v>470</v>
      </c>
      <c r="D114" s="9" t="s">
        <v>471</v>
      </c>
      <c r="E114" s="9" t="n">
        <v>27</v>
      </c>
      <c r="F114" s="9"/>
      <c r="G114" s="9" t="s">
        <v>1142</v>
      </c>
      <c r="H114" s="9" t="s">
        <v>48</v>
      </c>
      <c r="I114" s="9" t="s">
        <v>886</v>
      </c>
      <c r="J114" s="9" t="s">
        <v>1146</v>
      </c>
      <c r="K114" s="9" t="s">
        <v>185</v>
      </c>
      <c r="L114" s="9" t="s">
        <v>154</v>
      </c>
      <c r="M114" s="11"/>
      <c r="N114" s="11" t="s">
        <v>99</v>
      </c>
      <c r="O114" s="11"/>
      <c r="P114" s="11"/>
      <c r="Q114" s="9" t="s">
        <v>99</v>
      </c>
    </row>
    <row r="115" customFormat="false" ht="32.8" hidden="false" customHeight="false" outlineLevel="0" collapsed="false">
      <c r="A115" s="9" t="s">
        <v>1149</v>
      </c>
      <c r="B115" s="10" t="s">
        <v>34</v>
      </c>
      <c r="C115" s="9" t="s">
        <v>470</v>
      </c>
      <c r="D115" s="9" t="s">
        <v>471</v>
      </c>
      <c r="E115" s="9" t="n">
        <v>27</v>
      </c>
      <c r="F115" s="9"/>
      <c r="G115" s="9" t="s">
        <v>1142</v>
      </c>
      <c r="H115" s="9" t="s">
        <v>49</v>
      </c>
      <c r="I115" s="9" t="s">
        <v>886</v>
      </c>
      <c r="J115" s="9" t="s">
        <v>1146</v>
      </c>
      <c r="K115" s="9" t="s">
        <v>185</v>
      </c>
      <c r="L115" s="9" t="s">
        <v>154</v>
      </c>
      <c r="M115" s="11"/>
      <c r="N115" s="11" t="s">
        <v>64</v>
      </c>
      <c r="O115" s="11"/>
      <c r="P115" s="11"/>
      <c r="Q115" s="9" t="s">
        <v>64</v>
      </c>
    </row>
    <row r="116" customFormat="false" ht="32.8" hidden="false" customHeight="false" outlineLevel="0" collapsed="false">
      <c r="A116" s="9" t="s">
        <v>1150</v>
      </c>
      <c r="B116" s="10" t="s">
        <v>34</v>
      </c>
      <c r="C116" s="9" t="s">
        <v>470</v>
      </c>
      <c r="D116" s="9" t="s">
        <v>471</v>
      </c>
      <c r="E116" s="9" t="n">
        <v>27</v>
      </c>
      <c r="F116" s="9"/>
      <c r="G116" s="9" t="s">
        <v>1144</v>
      </c>
      <c r="H116" s="9" t="s">
        <v>48</v>
      </c>
      <c r="I116" s="9" t="s">
        <v>886</v>
      </c>
      <c r="J116" s="9" t="s">
        <v>1146</v>
      </c>
      <c r="K116" s="9" t="s">
        <v>185</v>
      </c>
      <c r="L116" s="9" t="s">
        <v>154</v>
      </c>
      <c r="M116" s="11"/>
      <c r="N116" s="11" t="s">
        <v>99</v>
      </c>
      <c r="O116" s="11"/>
      <c r="P116" s="11"/>
      <c r="Q116" s="9" t="s">
        <v>99</v>
      </c>
    </row>
    <row r="117" customFormat="false" ht="32.8" hidden="false" customHeight="false" outlineLevel="0" collapsed="false">
      <c r="A117" s="9" t="s">
        <v>1151</v>
      </c>
      <c r="B117" s="10" t="s">
        <v>34</v>
      </c>
      <c r="C117" s="9" t="s">
        <v>470</v>
      </c>
      <c r="D117" s="9" t="s">
        <v>471</v>
      </c>
      <c r="E117" s="9" t="n">
        <v>27</v>
      </c>
      <c r="F117" s="9"/>
      <c r="G117" s="9" t="s">
        <v>1144</v>
      </c>
      <c r="H117" s="9" t="s">
        <v>49</v>
      </c>
      <c r="I117" s="9" t="s">
        <v>886</v>
      </c>
      <c r="J117" s="9" t="s">
        <v>1146</v>
      </c>
      <c r="K117" s="9" t="s">
        <v>185</v>
      </c>
      <c r="L117" s="9" t="s">
        <v>154</v>
      </c>
      <c r="M117" s="11"/>
      <c r="N117" s="11" t="s">
        <v>64</v>
      </c>
      <c r="O117" s="11"/>
      <c r="P117" s="11"/>
      <c r="Q117" s="9" t="s">
        <v>64</v>
      </c>
    </row>
    <row r="118" customFormat="false" ht="22.35" hidden="false" customHeight="false" outlineLevel="0" collapsed="false">
      <c r="A118" s="9" t="s">
        <v>1152</v>
      </c>
      <c r="B118" s="10" t="s">
        <v>34</v>
      </c>
      <c r="C118" s="9" t="s">
        <v>470</v>
      </c>
      <c r="D118" s="9" t="s">
        <v>471</v>
      </c>
      <c r="E118" s="9" t="n">
        <v>27</v>
      </c>
      <c r="F118" s="9"/>
      <c r="G118" s="9" t="s">
        <v>925</v>
      </c>
      <c r="H118" s="9" t="s">
        <v>53</v>
      </c>
      <c r="I118" s="9" t="s">
        <v>926</v>
      </c>
      <c r="J118" s="9" t="s">
        <v>1153</v>
      </c>
      <c r="K118" s="9" t="s">
        <v>185</v>
      </c>
      <c r="L118" s="9" t="s">
        <v>154</v>
      </c>
      <c r="M118" s="11"/>
      <c r="N118" s="11" t="s">
        <v>81</v>
      </c>
      <c r="O118" s="11"/>
      <c r="P118" s="11"/>
      <c r="Q118" s="9" t="s">
        <v>81</v>
      </c>
    </row>
    <row r="119" customFormat="false" ht="32.8" hidden="false" customHeight="false" outlineLevel="0" collapsed="false">
      <c r="A119" s="9" t="s">
        <v>1154</v>
      </c>
      <c r="B119" s="10" t="s">
        <v>34</v>
      </c>
      <c r="C119" s="9" t="s">
        <v>470</v>
      </c>
      <c r="D119" s="9" t="s">
        <v>471</v>
      </c>
      <c r="E119" s="9" t="n">
        <v>29</v>
      </c>
      <c r="F119" s="9"/>
      <c r="G119" s="9" t="s">
        <v>1139</v>
      </c>
      <c r="H119" s="9" t="s">
        <v>51</v>
      </c>
      <c r="I119" s="9" t="s">
        <v>1155</v>
      </c>
      <c r="J119" s="9" t="s">
        <v>1156</v>
      </c>
      <c r="K119" s="9" t="s">
        <v>152</v>
      </c>
      <c r="L119" s="9" t="s">
        <v>154</v>
      </c>
      <c r="M119" s="11"/>
      <c r="N119" s="11" t="s">
        <v>79</v>
      </c>
      <c r="O119" s="11"/>
      <c r="P119" s="11"/>
      <c r="Q119" s="9" t="s">
        <v>79</v>
      </c>
    </row>
    <row r="120" customFormat="false" ht="32.8" hidden="false" customHeight="false" outlineLevel="0" collapsed="false">
      <c r="A120" s="9" t="s">
        <v>1157</v>
      </c>
      <c r="B120" s="10" t="s">
        <v>34</v>
      </c>
      <c r="C120" s="9" t="s">
        <v>470</v>
      </c>
      <c r="D120" s="9" t="s">
        <v>471</v>
      </c>
      <c r="E120" s="9" t="n">
        <v>30</v>
      </c>
      <c r="F120" s="9"/>
      <c r="G120" s="9" t="s">
        <v>1142</v>
      </c>
      <c r="H120" s="9" t="s">
        <v>51</v>
      </c>
      <c r="I120" s="9" t="s">
        <v>1158</v>
      </c>
      <c r="J120" s="9" t="s">
        <v>483</v>
      </c>
      <c r="K120" s="9" t="s">
        <v>152</v>
      </c>
      <c r="L120" s="9" t="s">
        <v>154</v>
      </c>
      <c r="M120" s="11"/>
      <c r="N120" s="11" t="s">
        <v>79</v>
      </c>
      <c r="O120" s="11"/>
      <c r="P120" s="11"/>
      <c r="Q120" s="9" t="s">
        <v>79</v>
      </c>
    </row>
    <row r="121" customFormat="false" ht="32.8" hidden="false" customHeight="false" outlineLevel="0" collapsed="false">
      <c r="A121" s="9" t="s">
        <v>1159</v>
      </c>
      <c r="B121" s="10" t="s">
        <v>34</v>
      </c>
      <c r="C121" s="9" t="s">
        <v>470</v>
      </c>
      <c r="D121" s="9" t="s">
        <v>471</v>
      </c>
      <c r="E121" s="9" t="n">
        <v>30</v>
      </c>
      <c r="F121" s="9"/>
      <c r="G121" s="9" t="s">
        <v>1144</v>
      </c>
      <c r="H121" s="9" t="s">
        <v>51</v>
      </c>
      <c r="I121" s="9" t="s">
        <v>1158</v>
      </c>
      <c r="J121" s="9" t="s">
        <v>483</v>
      </c>
      <c r="K121" s="9" t="s">
        <v>152</v>
      </c>
      <c r="L121" s="9" t="s">
        <v>154</v>
      </c>
      <c r="M121" s="11"/>
      <c r="N121" s="11" t="s">
        <v>79</v>
      </c>
      <c r="O121" s="11"/>
      <c r="P121" s="11"/>
      <c r="Q121" s="9" t="s">
        <v>79</v>
      </c>
    </row>
    <row r="122" customFormat="false" ht="43.25" hidden="false" customHeight="false" outlineLevel="0" collapsed="false">
      <c r="A122" s="9" t="s">
        <v>1160</v>
      </c>
      <c r="B122" s="10" t="s">
        <v>34</v>
      </c>
      <c r="C122" s="9" t="s">
        <v>485</v>
      </c>
      <c r="D122" s="9" t="s">
        <v>486</v>
      </c>
      <c r="E122" s="9" t="n">
        <v>11</v>
      </c>
      <c r="F122" s="9"/>
      <c r="G122" s="9" t="s">
        <v>1161</v>
      </c>
      <c r="H122" s="9" t="s">
        <v>50</v>
      </c>
      <c r="I122" s="9" t="s">
        <v>909</v>
      </c>
      <c r="J122" s="9" t="s">
        <v>1162</v>
      </c>
      <c r="K122" s="9" t="s">
        <v>185</v>
      </c>
      <c r="L122" s="9" t="s">
        <v>154</v>
      </c>
      <c r="M122" s="11"/>
      <c r="N122" s="11" t="s">
        <v>107</v>
      </c>
      <c r="O122" s="11"/>
      <c r="P122" s="11"/>
      <c r="Q122" s="9" t="s">
        <v>107</v>
      </c>
    </row>
    <row r="123" customFormat="false" ht="32.8" hidden="false" customHeight="false" outlineLevel="0" collapsed="false">
      <c r="A123" s="9" t="s">
        <v>1163</v>
      </c>
      <c r="B123" s="14" t="s">
        <v>40</v>
      </c>
      <c r="C123" s="9" t="s">
        <v>493</v>
      </c>
      <c r="D123" s="9" t="s">
        <v>494</v>
      </c>
      <c r="E123" s="9" t="n">
        <v>15</v>
      </c>
      <c r="F123" s="9"/>
      <c r="G123" s="9" t="s">
        <v>1164</v>
      </c>
      <c r="H123" s="9" t="s">
        <v>50</v>
      </c>
      <c r="I123" s="9" t="s">
        <v>994</v>
      </c>
      <c r="J123" s="9" t="s">
        <v>1165</v>
      </c>
      <c r="K123" s="9" t="s">
        <v>185</v>
      </c>
      <c r="L123" s="9" t="s">
        <v>154</v>
      </c>
      <c r="M123" s="11"/>
      <c r="N123" s="11" t="s">
        <v>107</v>
      </c>
      <c r="O123" s="11"/>
      <c r="P123" s="11"/>
      <c r="Q123" s="9" t="s">
        <v>107</v>
      </c>
    </row>
    <row r="124" customFormat="false" ht="32.8" hidden="false" customHeight="false" outlineLevel="0" collapsed="false">
      <c r="A124" s="9" t="s">
        <v>1166</v>
      </c>
      <c r="B124" s="14" t="s">
        <v>40</v>
      </c>
      <c r="C124" s="9" t="s">
        <v>493</v>
      </c>
      <c r="D124" s="9" t="s">
        <v>494</v>
      </c>
      <c r="E124" s="9" t="n">
        <v>15</v>
      </c>
      <c r="F124" s="9"/>
      <c r="G124" s="9" t="s">
        <v>1167</v>
      </c>
      <c r="H124" s="9" t="s">
        <v>50</v>
      </c>
      <c r="I124" s="9" t="s">
        <v>994</v>
      </c>
      <c r="J124" s="9" t="s">
        <v>1165</v>
      </c>
      <c r="K124" s="9" t="s">
        <v>185</v>
      </c>
      <c r="L124" s="9" t="s">
        <v>154</v>
      </c>
      <c r="M124" s="11"/>
      <c r="N124" s="11" t="s">
        <v>107</v>
      </c>
      <c r="O124" s="11"/>
      <c r="P124" s="11"/>
      <c r="Q124" s="9" t="s">
        <v>107</v>
      </c>
    </row>
    <row r="125" customFormat="false" ht="32.8" hidden="false" customHeight="false" outlineLevel="0" collapsed="false">
      <c r="A125" s="9" t="s">
        <v>1168</v>
      </c>
      <c r="B125" s="14" t="s">
        <v>40</v>
      </c>
      <c r="C125" s="9" t="s">
        <v>513</v>
      </c>
      <c r="D125" s="9" t="s">
        <v>514</v>
      </c>
      <c r="E125" s="9" t="n">
        <v>3</v>
      </c>
      <c r="F125" s="9"/>
      <c r="G125" s="9" t="s">
        <v>1169</v>
      </c>
      <c r="H125" s="9" t="s">
        <v>51</v>
      </c>
      <c r="I125" s="9" t="s">
        <v>1170</v>
      </c>
      <c r="J125" s="9" t="s">
        <v>520</v>
      </c>
      <c r="K125" s="9" t="s">
        <v>152</v>
      </c>
      <c r="L125" s="9" t="s">
        <v>154</v>
      </c>
      <c r="M125" s="11"/>
      <c r="N125" s="11" t="s">
        <v>79</v>
      </c>
      <c r="O125" s="11"/>
      <c r="P125" s="11"/>
      <c r="Q125" s="9" t="s">
        <v>79</v>
      </c>
    </row>
    <row r="126" customFormat="false" ht="32.8" hidden="false" customHeight="false" outlineLevel="0" collapsed="false">
      <c r="A126" s="9" t="s">
        <v>1171</v>
      </c>
      <c r="B126" s="14" t="s">
        <v>40</v>
      </c>
      <c r="C126" s="9" t="s">
        <v>513</v>
      </c>
      <c r="D126" s="9" t="s">
        <v>514</v>
      </c>
      <c r="E126" s="9" t="n">
        <v>4</v>
      </c>
      <c r="F126" s="9"/>
      <c r="G126" s="9" t="s">
        <v>1172</v>
      </c>
      <c r="H126" s="9" t="s">
        <v>51</v>
      </c>
      <c r="I126" s="9" t="s">
        <v>1170</v>
      </c>
      <c r="J126" s="9" t="s">
        <v>522</v>
      </c>
      <c r="K126" s="9" t="s">
        <v>152</v>
      </c>
      <c r="L126" s="9" t="s">
        <v>154</v>
      </c>
      <c r="M126" s="11"/>
      <c r="N126" s="11" t="s">
        <v>79</v>
      </c>
      <c r="O126" s="11"/>
      <c r="P126" s="11"/>
      <c r="Q126" s="9" t="s">
        <v>79</v>
      </c>
    </row>
    <row r="127" customFormat="false" ht="32.8" hidden="false" customHeight="false" outlineLevel="0" collapsed="false">
      <c r="A127" s="9" t="s">
        <v>1173</v>
      </c>
      <c r="B127" s="14" t="s">
        <v>40</v>
      </c>
      <c r="C127" s="9" t="s">
        <v>513</v>
      </c>
      <c r="D127" s="9" t="s">
        <v>514</v>
      </c>
      <c r="E127" s="9" t="n">
        <v>4</v>
      </c>
      <c r="F127" s="9"/>
      <c r="G127" s="9" t="s">
        <v>1174</v>
      </c>
      <c r="H127" s="9" t="s">
        <v>51</v>
      </c>
      <c r="I127" s="9" t="s">
        <v>1170</v>
      </c>
      <c r="J127" s="9" t="s">
        <v>525</v>
      </c>
      <c r="K127" s="9" t="s">
        <v>152</v>
      </c>
      <c r="L127" s="9" t="s">
        <v>154</v>
      </c>
      <c r="M127" s="11"/>
      <c r="N127" s="11" t="s">
        <v>79</v>
      </c>
      <c r="O127" s="11"/>
      <c r="P127" s="11"/>
      <c r="Q127" s="9" t="s">
        <v>79</v>
      </c>
    </row>
    <row r="128" customFormat="false" ht="22.35" hidden="false" customHeight="false" outlineLevel="0" collapsed="false">
      <c r="A128" s="9" t="s">
        <v>1175</v>
      </c>
      <c r="B128" s="14" t="s">
        <v>40</v>
      </c>
      <c r="C128" s="9" t="s">
        <v>567</v>
      </c>
      <c r="D128" s="9" t="s">
        <v>568</v>
      </c>
      <c r="E128" s="9" t="n">
        <v>5</v>
      </c>
      <c r="F128" s="9"/>
      <c r="G128" s="9" t="s">
        <v>1176</v>
      </c>
      <c r="H128" s="9" t="s">
        <v>50</v>
      </c>
      <c r="I128" s="9" t="s">
        <v>994</v>
      </c>
      <c r="J128" s="9" t="s">
        <v>569</v>
      </c>
      <c r="K128" s="9" t="s">
        <v>185</v>
      </c>
      <c r="L128" s="9" t="s">
        <v>154</v>
      </c>
      <c r="M128" s="11"/>
      <c r="N128" s="11" t="s">
        <v>107</v>
      </c>
      <c r="O128" s="11"/>
      <c r="P128" s="11"/>
      <c r="Q128" s="9" t="s">
        <v>107</v>
      </c>
    </row>
    <row r="129" customFormat="false" ht="22.35" hidden="false" customHeight="false" outlineLevel="0" collapsed="false">
      <c r="A129" s="9" t="s">
        <v>1177</v>
      </c>
      <c r="B129" s="14" t="s">
        <v>40</v>
      </c>
      <c r="C129" s="9" t="s">
        <v>567</v>
      </c>
      <c r="D129" s="9" t="s">
        <v>568</v>
      </c>
      <c r="E129" s="9" t="n">
        <v>5</v>
      </c>
      <c r="F129" s="9"/>
      <c r="G129" s="9" t="s">
        <v>1178</v>
      </c>
      <c r="H129" s="9" t="s">
        <v>50</v>
      </c>
      <c r="I129" s="9" t="s">
        <v>994</v>
      </c>
      <c r="J129" s="9" t="s">
        <v>569</v>
      </c>
      <c r="K129" s="9" t="s">
        <v>185</v>
      </c>
      <c r="L129" s="9" t="s">
        <v>154</v>
      </c>
      <c r="M129" s="11"/>
      <c r="N129" s="11" t="s">
        <v>107</v>
      </c>
      <c r="O129" s="11"/>
      <c r="P129" s="11"/>
      <c r="Q129" s="9" t="s">
        <v>107</v>
      </c>
    </row>
    <row r="130" customFormat="false" ht="22.35" hidden="false" customHeight="false" outlineLevel="0" collapsed="false">
      <c r="A130" s="9" t="s">
        <v>1179</v>
      </c>
      <c r="B130" s="10" t="s">
        <v>34</v>
      </c>
      <c r="C130" s="9" t="s">
        <v>584</v>
      </c>
      <c r="D130" s="9" t="s">
        <v>585</v>
      </c>
      <c r="E130" s="9" t="n">
        <v>7</v>
      </c>
      <c r="F130" s="9"/>
      <c r="G130" s="9" t="s">
        <v>1180</v>
      </c>
      <c r="H130" s="9" t="s">
        <v>48</v>
      </c>
      <c r="I130" s="9" t="s">
        <v>1181</v>
      </c>
      <c r="J130" s="9" t="s">
        <v>1182</v>
      </c>
      <c r="K130" s="9" t="s">
        <v>185</v>
      </c>
      <c r="L130" s="9" t="s">
        <v>154</v>
      </c>
      <c r="M130" s="11"/>
      <c r="N130" s="11" t="s">
        <v>99</v>
      </c>
      <c r="O130" s="11"/>
      <c r="P130" s="11"/>
      <c r="Q130" s="9" t="s">
        <v>99</v>
      </c>
    </row>
    <row r="131" customFormat="false" ht="22.35" hidden="false" customHeight="false" outlineLevel="0" collapsed="false">
      <c r="A131" s="9" t="s">
        <v>1183</v>
      </c>
      <c r="B131" s="10" t="s">
        <v>34</v>
      </c>
      <c r="C131" s="9" t="s">
        <v>584</v>
      </c>
      <c r="D131" s="9" t="s">
        <v>585</v>
      </c>
      <c r="E131" s="9" t="n">
        <v>7</v>
      </c>
      <c r="F131" s="9"/>
      <c r="G131" s="9" t="s">
        <v>1180</v>
      </c>
      <c r="H131" s="9" t="s">
        <v>49</v>
      </c>
      <c r="I131" s="9" t="s">
        <v>1181</v>
      </c>
      <c r="J131" s="9" t="s">
        <v>1182</v>
      </c>
      <c r="K131" s="9" t="s">
        <v>185</v>
      </c>
      <c r="L131" s="9" t="s">
        <v>154</v>
      </c>
      <c r="M131" s="11"/>
      <c r="N131" s="11" t="s">
        <v>64</v>
      </c>
      <c r="O131" s="11"/>
      <c r="P131" s="11"/>
      <c r="Q131" s="9" t="s">
        <v>64</v>
      </c>
    </row>
    <row r="132" customFormat="false" ht="22.35" hidden="false" customHeight="false" outlineLevel="0" collapsed="false">
      <c r="A132" s="9" t="s">
        <v>1184</v>
      </c>
      <c r="B132" s="10" t="s">
        <v>34</v>
      </c>
      <c r="C132" s="9" t="s">
        <v>584</v>
      </c>
      <c r="D132" s="9" t="s">
        <v>585</v>
      </c>
      <c r="E132" s="9" t="n">
        <v>7</v>
      </c>
      <c r="F132" s="9"/>
      <c r="G132" s="9" t="s">
        <v>1180</v>
      </c>
      <c r="H132" s="9" t="s">
        <v>48</v>
      </c>
      <c r="I132" s="9" t="s">
        <v>886</v>
      </c>
      <c r="J132" s="9" t="s">
        <v>1182</v>
      </c>
      <c r="K132" s="9" t="s">
        <v>185</v>
      </c>
      <c r="L132" s="9" t="s">
        <v>154</v>
      </c>
      <c r="M132" s="11"/>
      <c r="N132" s="11" t="s">
        <v>99</v>
      </c>
      <c r="O132" s="11"/>
      <c r="P132" s="11"/>
      <c r="Q132" s="9" t="s">
        <v>99</v>
      </c>
    </row>
    <row r="133" customFormat="false" ht="22.35" hidden="false" customHeight="false" outlineLevel="0" collapsed="false">
      <c r="A133" s="9" t="s">
        <v>1185</v>
      </c>
      <c r="B133" s="10" t="s">
        <v>34</v>
      </c>
      <c r="C133" s="9" t="s">
        <v>584</v>
      </c>
      <c r="D133" s="9" t="s">
        <v>585</v>
      </c>
      <c r="E133" s="9" t="n">
        <v>7</v>
      </c>
      <c r="F133" s="9"/>
      <c r="G133" s="9" t="s">
        <v>1180</v>
      </c>
      <c r="H133" s="9" t="s">
        <v>49</v>
      </c>
      <c r="I133" s="9" t="s">
        <v>886</v>
      </c>
      <c r="J133" s="9" t="s">
        <v>1182</v>
      </c>
      <c r="K133" s="9" t="s">
        <v>185</v>
      </c>
      <c r="L133" s="9" t="s">
        <v>154</v>
      </c>
      <c r="M133" s="11"/>
      <c r="N133" s="11" t="s">
        <v>64</v>
      </c>
      <c r="O133" s="11"/>
      <c r="P133" s="11"/>
      <c r="Q133" s="9" t="s">
        <v>64</v>
      </c>
    </row>
  </sheetData>
  <autoFilter ref="A1:Q133"/>
  <conditionalFormatting sqref="N2:N133">
    <cfRule type="expression" priority="2" aboveAverage="0" equalAverage="0" bottom="0" percent="0" rank="0" text="" dxfId="6">
      <formula>$N2&lt;&gt;$Q2</formula>
    </cfRule>
  </conditionalFormatting>
  <dataValidations count="8">
    <dataValidation allowBlank="true" errorStyle="stop" operator="between" showDropDown="false" showErrorMessage="false" showInputMessage="false" sqref="M2:M133" type="list">
      <formula1>Listas!$M$2:$M$3</formula1>
      <formula2>0</formula2>
    </dataValidation>
    <dataValidation allowBlank="true" errorStyle="stop" operator="between" showDropDown="false" showErrorMessage="false" showInputMessage="false" sqref="P2:P133" type="list">
      <formula1>Listas!$O$2:$O$2</formula1>
      <formula2>0</formula2>
    </dataValidation>
    <dataValidation allowBlank="true" errorStyle="stop" operator="between" showDropDown="false" showErrorMessage="false" showInputMessage="false" sqref="N2 N5 N10 N12 N34 N36 N38 N40 N42 N44 N46 N48 N50 N59 N63 N88 N90 N106 N112 N114 N116 N130 N132" type="list">
      <formula1>Listas!$G$2:$G$9</formula1>
      <formula2>0</formula2>
    </dataValidation>
    <dataValidation allowBlank="true" errorStyle="stop" operator="between" showDropDown="false" showErrorMessage="false" showInputMessage="false" sqref="N3 N6 N11 N13 N35 N37 N39 N41 N43 N45 N47 N49 N51 N60 N64 N89 N91 N107 N113 N115 N117 N131 N133" type="list">
      <formula1>Listas!$H$2:$H$6</formula1>
      <formula2>0</formula2>
    </dataValidation>
    <dataValidation allowBlank="true" errorStyle="stop" operator="between" showDropDown="false" showErrorMessage="false" showInputMessage="false" sqref="N4 N7 N28:N33 N76:N80" type="list">
      <formula1>Listas!$K$2:$K$4</formula1>
      <formula2>0</formula2>
    </dataValidation>
    <dataValidation allowBlank="true" errorStyle="stop" operator="between" showDropDown="false" showErrorMessage="false" showInputMessage="false" sqref="N8:N9 N18:N20 N52 N65 N70:N74 N86:N87 N92:N103 N119:N121 N125:N127" type="list">
      <formula1>Listas!$J$2:$J$4</formula1>
      <formula2>0</formula2>
    </dataValidation>
    <dataValidation allowBlank="true" errorStyle="stop" operator="between" showDropDown="false" showErrorMessage="false" showInputMessage="false" sqref="N14:N17 N22:N27 N53:N58 N61:N62 N67:N69 N82:N85 N109:N111 N122:N124 N128:N129" type="list">
      <formula1>Listas!$I$2:$I$8</formula1>
      <formula2>0</formula2>
    </dataValidation>
    <dataValidation allowBlank="true" errorStyle="stop" operator="between" showDropDown="false" showErrorMessage="false" showInputMessage="false" sqref="N21 N66 N75 N81 N104:N105 N108 N118" type="list">
      <formula1>Listas!$L$2:$L$6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7"/>
    <col collapsed="false" customWidth="true" hidden="false" outlineLevel="0" max="4" min="4" style="0" width="8"/>
    <col collapsed="false" customWidth="true" hidden="false" outlineLevel="0" max="5" min="5" style="0" width="18"/>
    <col collapsed="false" customWidth="true" hidden="false" outlineLevel="0" max="6" min="6" style="0" width="9"/>
  </cols>
  <sheetData>
    <row r="1" customFormat="false" ht="15" hidden="false" customHeight="false" outlineLevel="0" collapsed="false">
      <c r="A1" s="15" t="s">
        <v>128</v>
      </c>
      <c r="B1" s="15" t="s">
        <v>129</v>
      </c>
      <c r="C1" s="15" t="s">
        <v>27</v>
      </c>
      <c r="D1" s="15" t="s">
        <v>1186</v>
      </c>
      <c r="E1" s="15" t="s">
        <v>1187</v>
      </c>
      <c r="F1" s="15" t="s">
        <v>1188</v>
      </c>
    </row>
    <row r="2" customFormat="false" ht="15" hidden="false" customHeight="false" outlineLevel="0" collapsed="false">
      <c r="A2" s="5" t="s">
        <v>148</v>
      </c>
      <c r="B2" s="5" t="s">
        <v>149</v>
      </c>
      <c r="C2" s="5" t="n">
        <f aca="false">COUNTIF(MEC!$C:$C,A2)+COUNTIF(ADP!$C:$C,A2)+COUNTIF(MODELOS!$C:$C,A2)</f>
        <v>8</v>
      </c>
      <c r="D2" s="5" t="n">
        <f aca="false">COUNTIFS(MEC!$C:$C,A2,MEC!$B:$B,"T1")+COUNTIFS(ADP!$C:$C,A2,ADP!$B:$B,"T1")+COUNTIFS(MODELOS!$C:$C,A2,MODELOS!$B:$B,"T1")</f>
        <v>8</v>
      </c>
      <c r="E2" s="16"/>
      <c r="F2" s="17" t="str">
        <f aca="false">IF(E2="","",E2/C2)</f>
        <v/>
      </c>
    </row>
    <row r="3" customFormat="false" ht="15" hidden="false" customHeight="false" outlineLevel="0" collapsed="false">
      <c r="A3" s="5" t="s">
        <v>167</v>
      </c>
      <c r="B3" s="5" t="s">
        <v>168</v>
      </c>
      <c r="C3" s="5" t="n">
        <f aca="false">COUNTIF(MEC!$C:$C,A3)+COUNTIF(ADP!$C:$C,A3)+COUNTIF(MODELOS!$C:$C,A3)</f>
        <v>8</v>
      </c>
      <c r="D3" s="5" t="n">
        <f aca="false">COUNTIFS(MEC!$C:$C,A3,MEC!$B:$B,"T1")+COUNTIFS(ADP!$C:$C,A3,ADP!$B:$B,"T1")+COUNTIFS(MODELOS!$C:$C,A3,MODELOS!$B:$B,"T1")</f>
        <v>8</v>
      </c>
      <c r="E3" s="16"/>
      <c r="F3" s="17" t="str">
        <f aca="false">IF(E3="","",E3/C3)</f>
        <v/>
      </c>
    </row>
    <row r="4" customFormat="false" ht="15" hidden="false" customHeight="false" outlineLevel="0" collapsed="false">
      <c r="A4" s="5" t="s">
        <v>174</v>
      </c>
      <c r="B4" s="5" t="s">
        <v>175</v>
      </c>
      <c r="C4" s="5" t="n">
        <f aca="false">COUNTIF(MEC!$C:$C,A4)+COUNTIF(ADP!$C:$C,A4)+COUNTIF(MODELOS!$C:$C,A4)</f>
        <v>2</v>
      </c>
      <c r="D4" s="5" t="n">
        <f aca="false">COUNTIFS(MEC!$C:$C,A4,MEC!$B:$B,"T1")+COUNTIFS(ADP!$C:$C,A4,ADP!$B:$B,"T1")+COUNTIFS(MODELOS!$C:$C,A4,MODELOS!$B:$B,"T1")</f>
        <v>0</v>
      </c>
      <c r="E4" s="16"/>
      <c r="F4" s="17" t="str">
        <f aca="false">IF(E4="","",E4/C4)</f>
        <v/>
      </c>
    </row>
    <row r="5" customFormat="false" ht="15" hidden="false" customHeight="false" outlineLevel="0" collapsed="false">
      <c r="A5" s="5" t="s">
        <v>178</v>
      </c>
      <c r="B5" s="5" t="s">
        <v>179</v>
      </c>
      <c r="C5" s="5" t="n">
        <f aca="false">COUNTIF(MEC!$C:$C,A5)+COUNTIF(ADP!$C:$C,A5)+COUNTIF(MODELOS!$C:$C,A5)</f>
        <v>4</v>
      </c>
      <c r="D5" s="5" t="n">
        <f aca="false">COUNTIFS(MEC!$C:$C,A5,MEC!$B:$B,"T1")+COUNTIFS(ADP!$C:$C,A5,ADP!$B:$B,"T1")+COUNTIFS(MODELOS!$C:$C,A5,MODELOS!$B:$B,"T1")</f>
        <v>1</v>
      </c>
      <c r="E5" s="16"/>
      <c r="F5" s="17" t="str">
        <f aca="false">IF(E5="","",E5/C5)</f>
        <v/>
      </c>
    </row>
    <row r="6" customFormat="false" ht="15" hidden="false" customHeight="false" outlineLevel="0" collapsed="false">
      <c r="A6" s="5" t="s">
        <v>187</v>
      </c>
      <c r="B6" s="5" t="s">
        <v>188</v>
      </c>
      <c r="C6" s="5" t="n">
        <f aca="false">COUNTIF(MEC!$C:$C,A6)+COUNTIF(ADP!$C:$C,A6)+COUNTIF(MODELOS!$C:$C,A6)</f>
        <v>10</v>
      </c>
      <c r="D6" s="5" t="n">
        <f aca="false">COUNTIFS(MEC!$C:$C,A6,MEC!$B:$B,"T1")+COUNTIFS(ADP!$C:$C,A6,ADP!$B:$B,"T1")+COUNTIFS(MODELOS!$C:$C,A6,MODELOS!$B:$B,"T1")</f>
        <v>4</v>
      </c>
      <c r="E6" s="16"/>
      <c r="F6" s="17" t="str">
        <f aca="false">IF(E6="","",E6/C6)</f>
        <v/>
      </c>
    </row>
    <row r="7" customFormat="false" ht="15" hidden="false" customHeight="false" outlineLevel="0" collapsed="false">
      <c r="A7" s="5" t="s">
        <v>201</v>
      </c>
      <c r="B7" s="5" t="s">
        <v>202</v>
      </c>
      <c r="C7" s="5" t="n">
        <f aca="false">COUNTIF(MEC!$C:$C,A7)+COUNTIF(ADP!$C:$C,A7)+COUNTIF(MODELOS!$C:$C,A7)</f>
        <v>4</v>
      </c>
      <c r="D7" s="5" t="n">
        <f aca="false">COUNTIFS(MEC!$C:$C,A7,MEC!$B:$B,"T1")+COUNTIFS(ADP!$C:$C,A7,ADP!$B:$B,"T1")+COUNTIFS(MODELOS!$C:$C,A7,MODELOS!$B:$B,"T1")</f>
        <v>1</v>
      </c>
      <c r="E7" s="16"/>
      <c r="F7" s="17" t="str">
        <f aca="false">IF(E7="","",E7/C7)</f>
        <v/>
      </c>
    </row>
    <row r="8" customFormat="false" ht="15" hidden="false" customHeight="false" outlineLevel="0" collapsed="false">
      <c r="A8" s="5" t="s">
        <v>215</v>
      </c>
      <c r="B8" s="5" t="s">
        <v>216</v>
      </c>
      <c r="C8" s="5" t="n">
        <f aca="false">COUNTIF(MEC!$C:$C,A8)+COUNTIF(ADP!$C:$C,A8)+COUNTIF(MODELOS!$C:$C,A8)</f>
        <v>21</v>
      </c>
      <c r="D8" s="5" t="n">
        <f aca="false">COUNTIFS(MEC!$C:$C,A8,MEC!$B:$B,"T1")+COUNTIFS(ADP!$C:$C,A8,ADP!$B:$B,"T1")+COUNTIFS(MODELOS!$C:$C,A8,MODELOS!$B:$B,"T1")</f>
        <v>21</v>
      </c>
      <c r="E8" s="16"/>
      <c r="F8" s="17" t="str">
        <f aca="false">IF(E8="","",E8/C8)</f>
        <v/>
      </c>
    </row>
    <row r="9" customFormat="false" ht="15" hidden="false" customHeight="false" outlineLevel="0" collapsed="false">
      <c r="A9" s="5" t="s">
        <v>231</v>
      </c>
      <c r="B9" s="5" t="s">
        <v>232</v>
      </c>
      <c r="C9" s="5" t="n">
        <f aca="false">COUNTIF(MEC!$C:$C,A9)+COUNTIF(ADP!$C:$C,A9)+COUNTIF(MODELOS!$C:$C,A9)</f>
        <v>11</v>
      </c>
      <c r="D9" s="5" t="n">
        <f aca="false">COUNTIFS(MEC!$C:$C,A9,MEC!$B:$B,"T1")+COUNTIFS(ADP!$C:$C,A9,ADP!$B:$B,"T1")+COUNTIFS(MODELOS!$C:$C,A9,MODELOS!$B:$B,"T1")</f>
        <v>2</v>
      </c>
      <c r="E9" s="16"/>
      <c r="F9" s="17" t="str">
        <f aca="false">IF(E9="","",E9/C9)</f>
        <v/>
      </c>
    </row>
    <row r="10" customFormat="false" ht="15" hidden="false" customHeight="false" outlineLevel="0" collapsed="false">
      <c r="A10" s="5" t="s">
        <v>244</v>
      </c>
      <c r="B10" s="5" t="s">
        <v>245</v>
      </c>
      <c r="C10" s="5" t="n">
        <f aca="false">COUNTIF(MEC!$C:$C,A10)+COUNTIF(ADP!$C:$C,A10)+COUNTIF(MODELOS!$C:$C,A10)</f>
        <v>21</v>
      </c>
      <c r="D10" s="5" t="n">
        <f aca="false">COUNTIFS(MEC!$C:$C,A10,MEC!$B:$B,"T1")+COUNTIFS(ADP!$C:$C,A10,ADP!$B:$B,"T1")+COUNTIFS(MODELOS!$C:$C,A10,MODELOS!$B:$B,"T1")</f>
        <v>21</v>
      </c>
      <c r="E10" s="16"/>
      <c r="F10" s="17" t="str">
        <f aca="false">IF(E10="","",E10/C10)</f>
        <v/>
      </c>
    </row>
    <row r="11" customFormat="false" ht="15" hidden="false" customHeight="false" outlineLevel="0" collapsed="false">
      <c r="A11" s="5" t="s">
        <v>272</v>
      </c>
      <c r="B11" s="5" t="s">
        <v>273</v>
      </c>
      <c r="C11" s="5" t="n">
        <f aca="false">COUNTIF(MEC!$C:$C,A11)+COUNTIF(ADP!$C:$C,A11)+COUNTIF(MODELOS!$C:$C,A11)</f>
        <v>22</v>
      </c>
      <c r="D11" s="5" t="n">
        <f aca="false">COUNTIFS(MEC!$C:$C,A11,MEC!$B:$B,"T1")+COUNTIFS(ADP!$C:$C,A11,ADP!$B:$B,"T1")+COUNTIFS(MODELOS!$C:$C,A11,MODELOS!$B:$B,"T1")</f>
        <v>22</v>
      </c>
      <c r="E11" s="16"/>
      <c r="F11" s="17" t="str">
        <f aca="false">IF(E11="","",E11/C11)</f>
        <v/>
      </c>
    </row>
    <row r="12" customFormat="false" ht="15" hidden="false" customHeight="false" outlineLevel="0" collapsed="false">
      <c r="A12" s="5" t="s">
        <v>280</v>
      </c>
      <c r="B12" s="5" t="s">
        <v>281</v>
      </c>
      <c r="C12" s="5" t="n">
        <f aca="false">COUNTIF(MEC!$C:$C,A12)+COUNTIF(ADP!$C:$C,A12)+COUNTIF(MODELOS!$C:$C,A12)</f>
        <v>12</v>
      </c>
      <c r="D12" s="5" t="n">
        <f aca="false">COUNTIFS(MEC!$C:$C,A12,MEC!$B:$B,"T1")+COUNTIFS(ADP!$C:$C,A12,ADP!$B:$B,"T1")+COUNTIFS(MODELOS!$C:$C,A12,MODELOS!$B:$B,"T1")</f>
        <v>3</v>
      </c>
      <c r="E12" s="16"/>
      <c r="F12" s="17" t="str">
        <f aca="false">IF(E12="","",E12/C12)</f>
        <v/>
      </c>
    </row>
    <row r="13" customFormat="false" ht="15" hidden="false" customHeight="false" outlineLevel="0" collapsed="false">
      <c r="A13" s="5" t="s">
        <v>287</v>
      </c>
      <c r="B13" s="5" t="s">
        <v>288</v>
      </c>
      <c r="C13" s="5" t="n">
        <f aca="false">COUNTIF(MEC!$C:$C,A13)+COUNTIF(ADP!$C:$C,A13)+COUNTIF(MODELOS!$C:$C,A13)</f>
        <v>7</v>
      </c>
      <c r="D13" s="5" t="n">
        <f aca="false">COUNTIFS(MEC!$C:$C,A13,MEC!$B:$B,"T1")+COUNTIFS(ADP!$C:$C,A13,ADP!$B:$B,"T1")+COUNTIFS(MODELOS!$C:$C,A13,MODELOS!$B:$B,"T1")</f>
        <v>7</v>
      </c>
      <c r="E13" s="16"/>
      <c r="F13" s="17" t="str">
        <f aca="false">IF(E13="","",E13/C13)</f>
        <v/>
      </c>
    </row>
    <row r="14" customFormat="false" ht="15" hidden="false" customHeight="false" outlineLevel="0" collapsed="false">
      <c r="A14" s="5" t="s">
        <v>294</v>
      </c>
      <c r="B14" s="5" t="s">
        <v>295</v>
      </c>
      <c r="C14" s="5" t="n">
        <f aca="false">COUNTIF(MEC!$C:$C,A14)+COUNTIF(ADP!$C:$C,A14)+COUNTIF(MODELOS!$C:$C,A14)</f>
        <v>6</v>
      </c>
      <c r="D14" s="5" t="n">
        <f aca="false">COUNTIFS(MEC!$C:$C,A14,MEC!$B:$B,"T1")+COUNTIFS(ADP!$C:$C,A14,ADP!$B:$B,"T1")+COUNTIFS(MODELOS!$C:$C,A14,MODELOS!$B:$B,"T1")</f>
        <v>6</v>
      </c>
      <c r="E14" s="16"/>
      <c r="F14" s="17" t="str">
        <f aca="false">IF(E14="","",E14/C14)</f>
        <v/>
      </c>
    </row>
    <row r="15" customFormat="false" ht="15" hidden="false" customHeight="false" outlineLevel="0" collapsed="false">
      <c r="A15" s="5" t="s">
        <v>303</v>
      </c>
      <c r="B15" s="5" t="s">
        <v>304</v>
      </c>
      <c r="C15" s="5" t="n">
        <f aca="false">COUNTIF(MEC!$C:$C,A15)+COUNTIF(ADP!$C:$C,A15)+COUNTIF(MODELOS!$C:$C,A15)</f>
        <v>10</v>
      </c>
      <c r="D15" s="5" t="n">
        <f aca="false">COUNTIFS(MEC!$C:$C,A15,MEC!$B:$B,"T1")+COUNTIFS(ADP!$C:$C,A15,ADP!$B:$B,"T1")+COUNTIFS(MODELOS!$C:$C,A15,MODELOS!$B:$B,"T1")</f>
        <v>10</v>
      </c>
      <c r="E15" s="16"/>
      <c r="F15" s="17" t="str">
        <f aca="false">IF(E15="","",E15/C15)</f>
        <v/>
      </c>
    </row>
    <row r="16" customFormat="false" ht="15" hidden="false" customHeight="false" outlineLevel="0" collapsed="false">
      <c r="A16" s="5" t="s">
        <v>311</v>
      </c>
      <c r="B16" s="5" t="s">
        <v>312</v>
      </c>
      <c r="C16" s="5" t="n">
        <f aca="false">COUNTIF(MEC!$C:$C,A16)+COUNTIF(ADP!$C:$C,A16)+COUNTIF(MODELOS!$C:$C,A16)</f>
        <v>10</v>
      </c>
      <c r="D16" s="5" t="n">
        <f aca="false">COUNTIFS(MEC!$C:$C,A16,MEC!$B:$B,"T1")+COUNTIFS(ADP!$C:$C,A16,ADP!$B:$B,"T1")+COUNTIFS(MODELOS!$C:$C,A16,MODELOS!$B:$B,"T1")</f>
        <v>3</v>
      </c>
      <c r="E16" s="16"/>
      <c r="F16" s="17" t="str">
        <f aca="false">IF(E16="","",E16/C16)</f>
        <v/>
      </c>
    </row>
    <row r="17" customFormat="false" ht="15" hidden="false" customHeight="false" outlineLevel="0" collapsed="false">
      <c r="A17" s="5" t="s">
        <v>320</v>
      </c>
      <c r="B17" s="5" t="s">
        <v>321</v>
      </c>
      <c r="C17" s="5" t="n">
        <f aca="false">COUNTIF(MEC!$C:$C,A17)+COUNTIF(ADP!$C:$C,A17)+COUNTIF(MODELOS!$C:$C,A17)</f>
        <v>5</v>
      </c>
      <c r="D17" s="5" t="n">
        <f aca="false">COUNTIFS(MEC!$C:$C,A17,MEC!$B:$B,"T1")+COUNTIFS(ADP!$C:$C,A17,ADP!$B:$B,"T1")+COUNTIFS(MODELOS!$C:$C,A17,MODELOS!$B:$B,"T1")</f>
        <v>1</v>
      </c>
      <c r="E17" s="16"/>
      <c r="F17" s="17" t="str">
        <f aca="false">IF(E17="","",E17/C17)</f>
        <v/>
      </c>
    </row>
    <row r="18" customFormat="false" ht="15" hidden="false" customHeight="false" outlineLevel="0" collapsed="false">
      <c r="A18" s="5" t="s">
        <v>328</v>
      </c>
      <c r="B18" s="5" t="s">
        <v>329</v>
      </c>
      <c r="C18" s="5" t="n">
        <f aca="false">COUNTIF(MEC!$C:$C,A18)+COUNTIF(ADP!$C:$C,A18)+COUNTIF(MODELOS!$C:$C,A18)</f>
        <v>3</v>
      </c>
      <c r="D18" s="5" t="n">
        <f aca="false">COUNTIFS(MEC!$C:$C,A18,MEC!$B:$B,"T1")+COUNTIFS(ADP!$C:$C,A18,ADP!$B:$B,"T1")+COUNTIFS(MODELOS!$C:$C,A18,MODELOS!$B:$B,"T1")</f>
        <v>2</v>
      </c>
      <c r="E18" s="16"/>
      <c r="F18" s="17" t="str">
        <f aca="false">IF(E18="","",E18/C18)</f>
        <v/>
      </c>
    </row>
    <row r="19" customFormat="false" ht="15" hidden="false" customHeight="false" outlineLevel="0" collapsed="false">
      <c r="A19" s="5" t="s">
        <v>335</v>
      </c>
      <c r="B19" s="5" t="s">
        <v>336</v>
      </c>
      <c r="C19" s="5" t="n">
        <f aca="false">COUNTIF(MEC!$C:$C,A19)+COUNTIF(ADP!$C:$C,A19)+COUNTIF(MODELOS!$C:$C,A19)</f>
        <v>17</v>
      </c>
      <c r="D19" s="5" t="n">
        <f aca="false">COUNTIFS(MEC!$C:$C,A19,MEC!$B:$B,"T1")+COUNTIFS(ADP!$C:$C,A19,ADP!$B:$B,"T1")+COUNTIFS(MODELOS!$C:$C,A19,MODELOS!$B:$B,"T1")</f>
        <v>2</v>
      </c>
      <c r="E19" s="16"/>
      <c r="F19" s="17" t="str">
        <f aca="false">IF(E19="","",E19/C19)</f>
        <v/>
      </c>
    </row>
    <row r="20" customFormat="false" ht="15" hidden="false" customHeight="false" outlineLevel="0" collapsed="false">
      <c r="A20" s="5" t="s">
        <v>364</v>
      </c>
      <c r="B20" s="5" t="s">
        <v>365</v>
      </c>
      <c r="C20" s="5" t="n">
        <f aca="false">COUNTIF(MEC!$C:$C,A20)+COUNTIF(ADP!$C:$C,A20)+COUNTIF(MODELOS!$C:$C,A20)</f>
        <v>2</v>
      </c>
      <c r="D20" s="5" t="n">
        <f aca="false">COUNTIFS(MEC!$C:$C,A20,MEC!$B:$B,"T1")+COUNTIFS(ADP!$C:$C,A20,ADP!$B:$B,"T1")+COUNTIFS(MODELOS!$C:$C,A20,MODELOS!$B:$B,"T1")</f>
        <v>1</v>
      </c>
      <c r="E20" s="16"/>
      <c r="F20" s="17" t="str">
        <f aca="false">IF(E20="","",E20/C20)</f>
        <v/>
      </c>
    </row>
    <row r="21" customFormat="false" ht="15" hidden="false" customHeight="false" outlineLevel="0" collapsed="false">
      <c r="A21" s="5" t="s">
        <v>368</v>
      </c>
      <c r="B21" s="5" t="s">
        <v>369</v>
      </c>
      <c r="C21" s="5" t="n">
        <f aca="false">COUNTIF(MEC!$C:$C,A21)+COUNTIF(ADP!$C:$C,A21)+COUNTIF(MODELOS!$C:$C,A21)</f>
        <v>15</v>
      </c>
      <c r="D21" s="5" t="n">
        <f aca="false">COUNTIFS(MEC!$C:$C,A21,MEC!$B:$B,"T1")+COUNTIFS(ADP!$C:$C,A21,ADP!$B:$B,"T1")+COUNTIFS(MODELOS!$C:$C,A21,MODELOS!$B:$B,"T1")</f>
        <v>13</v>
      </c>
      <c r="E21" s="16"/>
      <c r="F21" s="17" t="str">
        <f aca="false">IF(E21="","",E21/C21)</f>
        <v/>
      </c>
    </row>
    <row r="22" customFormat="false" ht="15" hidden="false" customHeight="false" outlineLevel="0" collapsed="false">
      <c r="A22" s="5" t="s">
        <v>373</v>
      </c>
      <c r="B22" s="5" t="s">
        <v>374</v>
      </c>
      <c r="C22" s="5" t="n">
        <f aca="false">COUNTIF(MEC!$C:$C,A22)+COUNTIF(ADP!$C:$C,A22)+COUNTIF(MODELOS!$C:$C,A22)</f>
        <v>14</v>
      </c>
      <c r="D22" s="5" t="n">
        <f aca="false">COUNTIFS(MEC!$C:$C,A22,MEC!$B:$B,"T1")+COUNTIFS(ADP!$C:$C,A22,ADP!$B:$B,"T1")+COUNTIFS(MODELOS!$C:$C,A22,MODELOS!$B:$B,"T1")</f>
        <v>4</v>
      </c>
      <c r="E22" s="16"/>
      <c r="F22" s="17" t="str">
        <f aca="false">IF(E22="","",E22/C22)</f>
        <v/>
      </c>
    </row>
    <row r="23" customFormat="false" ht="15" hidden="false" customHeight="false" outlineLevel="0" collapsed="false">
      <c r="A23" s="5" t="s">
        <v>390</v>
      </c>
      <c r="B23" s="5" t="s">
        <v>179</v>
      </c>
      <c r="C23" s="5" t="n">
        <f aca="false">COUNTIF(MEC!$C:$C,A23)+COUNTIF(ADP!$C:$C,A23)+COUNTIF(MODELOS!$C:$C,A23)</f>
        <v>4</v>
      </c>
      <c r="D23" s="5" t="n">
        <f aca="false">COUNTIFS(MEC!$C:$C,A23,MEC!$B:$B,"T1")+COUNTIFS(ADP!$C:$C,A23,ADP!$B:$B,"T1")+COUNTIFS(MODELOS!$C:$C,A23,MODELOS!$B:$B,"T1")</f>
        <v>3</v>
      </c>
      <c r="E23" s="16"/>
      <c r="F23" s="17" t="str">
        <f aca="false">IF(E23="","",E23/C23)</f>
        <v/>
      </c>
    </row>
    <row r="24" customFormat="false" ht="15" hidden="false" customHeight="false" outlineLevel="0" collapsed="false">
      <c r="A24" s="5" t="s">
        <v>396</v>
      </c>
      <c r="B24" s="5" t="s">
        <v>397</v>
      </c>
      <c r="C24" s="5" t="n">
        <f aca="false">COUNTIF(MEC!$C:$C,A24)+COUNTIF(ADP!$C:$C,A24)+COUNTIF(MODELOS!$C:$C,A24)</f>
        <v>6</v>
      </c>
      <c r="D24" s="5" t="n">
        <f aca="false">COUNTIFS(MEC!$C:$C,A24,MEC!$B:$B,"T1")+COUNTIFS(ADP!$C:$C,A24,ADP!$B:$B,"T1")+COUNTIFS(MODELOS!$C:$C,A24,MODELOS!$B:$B,"T1")</f>
        <v>3</v>
      </c>
      <c r="E24" s="16"/>
      <c r="F24" s="17" t="str">
        <f aca="false">IF(E24="","",E24/C24)</f>
        <v/>
      </c>
    </row>
    <row r="25" customFormat="false" ht="15" hidden="false" customHeight="false" outlineLevel="0" collapsed="false">
      <c r="A25" s="5" t="s">
        <v>1078</v>
      </c>
      <c r="B25" s="5" t="s">
        <v>1079</v>
      </c>
      <c r="C25" s="5" t="n">
        <f aca="false">COUNTIF(MEC!$C:$C,A25)+COUNTIF(ADP!$C:$C,A25)+COUNTIF(MODELOS!$C:$C,A25)</f>
        <v>4</v>
      </c>
      <c r="D25" s="5" t="n">
        <f aca="false">COUNTIFS(MEC!$C:$C,A25,MEC!$B:$B,"T1")+COUNTIFS(ADP!$C:$C,A25,ADP!$B:$B,"T1")+COUNTIFS(MODELOS!$C:$C,A25,MODELOS!$B:$B,"T1")</f>
        <v>4</v>
      </c>
      <c r="E25" s="16"/>
      <c r="F25" s="17" t="str">
        <f aca="false">IF(E25="","",E25/C25)</f>
        <v/>
      </c>
    </row>
    <row r="26" customFormat="false" ht="15" hidden="false" customHeight="false" outlineLevel="0" collapsed="false">
      <c r="A26" s="5" t="s">
        <v>406</v>
      </c>
      <c r="B26" s="5" t="s">
        <v>407</v>
      </c>
      <c r="C26" s="5" t="n">
        <f aca="false">COUNTIF(MEC!$C:$C,A26)+COUNTIF(ADP!$C:$C,A26)+COUNTIF(MODELOS!$C:$C,A26)</f>
        <v>4</v>
      </c>
      <c r="D26" s="5" t="n">
        <f aca="false">COUNTIFS(MEC!$C:$C,A26,MEC!$B:$B,"T1")+COUNTIFS(ADP!$C:$C,A26,ADP!$B:$B,"T1")+COUNTIFS(MODELOS!$C:$C,A26,MODELOS!$B:$B,"T1")</f>
        <v>0</v>
      </c>
      <c r="E26" s="16"/>
      <c r="F26" s="17" t="str">
        <f aca="false">IF(E26="","",E26/C26)</f>
        <v/>
      </c>
    </row>
    <row r="27" customFormat="false" ht="15" hidden="false" customHeight="false" outlineLevel="0" collapsed="false">
      <c r="A27" s="5" t="s">
        <v>415</v>
      </c>
      <c r="B27" s="5" t="s">
        <v>416</v>
      </c>
      <c r="C27" s="5" t="n">
        <f aca="false">COUNTIF(MEC!$C:$C,A27)+COUNTIF(ADP!$C:$C,A27)+COUNTIF(MODELOS!$C:$C,A27)</f>
        <v>23</v>
      </c>
      <c r="D27" s="5" t="n">
        <f aca="false">COUNTIFS(MEC!$C:$C,A27,MEC!$B:$B,"T1")+COUNTIFS(ADP!$C:$C,A27,ADP!$B:$B,"T1")+COUNTIFS(MODELOS!$C:$C,A27,MODELOS!$B:$B,"T1")</f>
        <v>13</v>
      </c>
      <c r="E27" s="16"/>
      <c r="F27" s="17" t="str">
        <f aca="false">IF(E27="","",E27/C27)</f>
        <v/>
      </c>
    </row>
    <row r="28" customFormat="false" ht="15" hidden="false" customHeight="false" outlineLevel="0" collapsed="false">
      <c r="A28" s="5" t="s">
        <v>438</v>
      </c>
      <c r="B28" s="5" t="s">
        <v>439</v>
      </c>
      <c r="C28" s="5" t="n">
        <f aca="false">COUNTIF(MEC!$C:$C,A28)+COUNTIF(ADP!$C:$C,A28)+COUNTIF(MODELOS!$C:$C,A28)</f>
        <v>5</v>
      </c>
      <c r="D28" s="5" t="n">
        <f aca="false">COUNTIFS(MEC!$C:$C,A28,MEC!$B:$B,"T1")+COUNTIFS(ADP!$C:$C,A28,ADP!$B:$B,"T1")+COUNTIFS(MODELOS!$C:$C,A28,MODELOS!$B:$B,"T1")</f>
        <v>2</v>
      </c>
      <c r="E28" s="16"/>
      <c r="F28" s="17" t="str">
        <f aca="false">IF(E28="","",E28/C28)</f>
        <v/>
      </c>
    </row>
    <row r="29" customFormat="false" ht="15" hidden="false" customHeight="false" outlineLevel="0" collapsed="false">
      <c r="A29" s="5" t="s">
        <v>450</v>
      </c>
      <c r="B29" s="5" t="s">
        <v>451</v>
      </c>
      <c r="C29" s="5" t="n">
        <f aca="false">COUNTIF(MEC!$C:$C,A29)+COUNTIF(ADP!$C:$C,A29)+COUNTIF(MODELOS!$C:$C,A29)</f>
        <v>4</v>
      </c>
      <c r="D29" s="5" t="n">
        <f aca="false">COUNTIFS(MEC!$C:$C,A29,MEC!$B:$B,"T1")+COUNTIFS(ADP!$C:$C,A29,ADP!$B:$B,"T1")+COUNTIFS(MODELOS!$C:$C,A29,MODELOS!$B:$B,"T1")</f>
        <v>1</v>
      </c>
      <c r="E29" s="16"/>
      <c r="F29" s="17" t="str">
        <f aca="false">IF(E29="","",E29/C29)</f>
        <v/>
      </c>
    </row>
    <row r="30" customFormat="false" ht="15" hidden="false" customHeight="false" outlineLevel="0" collapsed="false">
      <c r="A30" s="5" t="s">
        <v>456</v>
      </c>
      <c r="B30" s="5" t="s">
        <v>457</v>
      </c>
      <c r="C30" s="5" t="n">
        <f aca="false">COUNTIF(MEC!$C:$C,A30)+COUNTIF(ADP!$C:$C,A30)+COUNTIF(MODELOS!$C:$C,A30)</f>
        <v>4</v>
      </c>
      <c r="D30" s="5" t="n">
        <f aca="false">COUNTIFS(MEC!$C:$C,A30,MEC!$B:$B,"T1")+COUNTIFS(ADP!$C:$C,A30,ADP!$B:$B,"T1")+COUNTIFS(MODELOS!$C:$C,A30,MODELOS!$B:$B,"T1")</f>
        <v>1</v>
      </c>
      <c r="E30" s="16"/>
      <c r="F30" s="17" t="str">
        <f aca="false">IF(E30="","",E30/C30)</f>
        <v/>
      </c>
    </row>
    <row r="31" customFormat="false" ht="15" hidden="false" customHeight="false" outlineLevel="0" collapsed="false">
      <c r="A31" s="5" t="s">
        <v>464</v>
      </c>
      <c r="B31" s="5" t="s">
        <v>465</v>
      </c>
      <c r="C31" s="5" t="n">
        <f aca="false">COUNTIF(MEC!$C:$C,A31)+COUNTIF(ADP!$C:$C,A31)+COUNTIF(MODELOS!$C:$C,A31)</f>
        <v>6</v>
      </c>
      <c r="D31" s="5" t="n">
        <f aca="false">COUNTIFS(MEC!$C:$C,A31,MEC!$B:$B,"T1")+COUNTIFS(ADP!$C:$C,A31,ADP!$B:$B,"T1")+COUNTIFS(MODELOS!$C:$C,A31,MODELOS!$B:$B,"T1")</f>
        <v>6</v>
      </c>
      <c r="E31" s="16"/>
      <c r="F31" s="17" t="str">
        <f aca="false">IF(E31="","",E31/C31)</f>
        <v/>
      </c>
    </row>
    <row r="32" customFormat="false" ht="15" hidden="false" customHeight="false" outlineLevel="0" collapsed="false">
      <c r="A32" s="5" t="s">
        <v>470</v>
      </c>
      <c r="B32" s="5" t="s">
        <v>471</v>
      </c>
      <c r="C32" s="5" t="n">
        <f aca="false">COUNTIF(MEC!$C:$C,A32)+COUNTIF(ADP!$C:$C,A32)+COUNTIF(MODELOS!$C:$C,A32)</f>
        <v>25</v>
      </c>
      <c r="D32" s="5" t="n">
        <f aca="false">COUNTIFS(MEC!$C:$C,A32,MEC!$B:$B,"T1")+COUNTIFS(ADP!$C:$C,A32,ADP!$B:$B,"T1")+COUNTIFS(MODELOS!$C:$C,A32,MODELOS!$B:$B,"T1")</f>
        <v>25</v>
      </c>
      <c r="E32" s="16"/>
      <c r="F32" s="17" t="str">
        <f aca="false">IF(E32="","",E32/C32)</f>
        <v/>
      </c>
    </row>
    <row r="33" customFormat="false" ht="15" hidden="false" customHeight="false" outlineLevel="0" collapsed="false">
      <c r="A33" s="5" t="s">
        <v>485</v>
      </c>
      <c r="B33" s="5" t="s">
        <v>486</v>
      </c>
      <c r="C33" s="5" t="n">
        <f aca="false">COUNTIF(MEC!$C:$C,A33)+COUNTIF(ADP!$C:$C,A33)+COUNTIF(MODELOS!$C:$C,A33)</f>
        <v>4</v>
      </c>
      <c r="D33" s="5" t="n">
        <f aca="false">COUNTIFS(MEC!$C:$C,A33,MEC!$B:$B,"T1")+COUNTIFS(ADP!$C:$C,A33,ADP!$B:$B,"T1")+COUNTIFS(MODELOS!$C:$C,A33,MODELOS!$B:$B,"T1")</f>
        <v>4</v>
      </c>
      <c r="E33" s="16"/>
      <c r="F33" s="17" t="str">
        <f aca="false">IF(E33="","",E33/C33)</f>
        <v/>
      </c>
    </row>
    <row r="34" customFormat="false" ht="15" hidden="false" customHeight="false" outlineLevel="0" collapsed="false">
      <c r="A34" s="5" t="s">
        <v>493</v>
      </c>
      <c r="B34" s="5" t="s">
        <v>494</v>
      </c>
      <c r="C34" s="5" t="n">
        <f aca="false">COUNTIF(MEC!$C:$C,A34)+COUNTIF(ADP!$C:$C,A34)+COUNTIF(MODELOS!$C:$C,A34)</f>
        <v>15</v>
      </c>
      <c r="D34" s="5" t="n">
        <f aca="false">COUNTIFS(MEC!$C:$C,A34,MEC!$B:$B,"T1")+COUNTIFS(ADP!$C:$C,A34,ADP!$B:$B,"T1")+COUNTIFS(MODELOS!$C:$C,A34,MODELOS!$B:$B,"T1")</f>
        <v>2</v>
      </c>
      <c r="E34" s="16"/>
      <c r="F34" s="17" t="str">
        <f aca="false">IF(E34="","",E34/C34)</f>
        <v/>
      </c>
    </row>
    <row r="35" customFormat="false" ht="15" hidden="false" customHeight="false" outlineLevel="0" collapsed="false">
      <c r="A35" s="5" t="s">
        <v>513</v>
      </c>
      <c r="B35" s="5" t="s">
        <v>514</v>
      </c>
      <c r="C35" s="5" t="n">
        <f aca="false">COUNTIF(MEC!$C:$C,A35)+COUNTIF(ADP!$C:$C,A35)+COUNTIF(MODELOS!$C:$C,A35)</f>
        <v>16</v>
      </c>
      <c r="D35" s="5" t="n">
        <f aca="false">COUNTIFS(MEC!$C:$C,A35,MEC!$B:$B,"T1")+COUNTIFS(ADP!$C:$C,A35,ADP!$B:$B,"T1")+COUNTIFS(MODELOS!$C:$C,A35,MODELOS!$B:$B,"T1")</f>
        <v>3</v>
      </c>
      <c r="E35" s="16"/>
      <c r="F35" s="17" t="str">
        <f aca="false">IF(E35="","",E35/C35)</f>
        <v/>
      </c>
    </row>
    <row r="36" customFormat="false" ht="15" hidden="false" customHeight="false" outlineLevel="0" collapsed="false">
      <c r="A36" s="5" t="s">
        <v>533</v>
      </c>
      <c r="B36" s="5" t="s">
        <v>534</v>
      </c>
      <c r="C36" s="5" t="n">
        <f aca="false">COUNTIF(MEC!$C:$C,A36)+COUNTIF(ADP!$C:$C,A36)+COUNTIF(MODELOS!$C:$C,A36)</f>
        <v>8</v>
      </c>
      <c r="D36" s="5" t="n">
        <f aca="false">COUNTIFS(MEC!$C:$C,A36,MEC!$B:$B,"T1")+COUNTIFS(ADP!$C:$C,A36,ADP!$B:$B,"T1")+COUNTIFS(MODELOS!$C:$C,A36,MODELOS!$B:$B,"T1")</f>
        <v>1</v>
      </c>
      <c r="E36" s="16"/>
      <c r="F36" s="17" t="str">
        <f aca="false">IF(E36="","",E36/C36)</f>
        <v/>
      </c>
    </row>
    <row r="37" customFormat="false" ht="15" hidden="false" customHeight="false" outlineLevel="0" collapsed="false">
      <c r="A37" s="5" t="s">
        <v>546</v>
      </c>
      <c r="B37" s="5" t="s">
        <v>547</v>
      </c>
      <c r="C37" s="5" t="n">
        <f aca="false">COUNTIF(MEC!$C:$C,A37)+COUNTIF(ADP!$C:$C,A37)+COUNTIF(MODELOS!$C:$C,A37)</f>
        <v>9</v>
      </c>
      <c r="D37" s="5" t="n">
        <f aca="false">COUNTIFS(MEC!$C:$C,A37,MEC!$B:$B,"T1")+COUNTIFS(ADP!$C:$C,A37,ADP!$B:$B,"T1")+COUNTIFS(MODELOS!$C:$C,A37,MODELOS!$B:$B,"T1")</f>
        <v>1</v>
      </c>
      <c r="E37" s="16"/>
      <c r="F37" s="17" t="str">
        <f aca="false">IF(E37="","",E37/C37)</f>
        <v/>
      </c>
    </row>
    <row r="38" customFormat="false" ht="15" hidden="false" customHeight="false" outlineLevel="0" collapsed="false">
      <c r="A38" s="5" t="s">
        <v>567</v>
      </c>
      <c r="B38" s="5" t="s">
        <v>568</v>
      </c>
      <c r="C38" s="5" t="n">
        <f aca="false">COUNTIF(MEC!$C:$C,A38)+COUNTIF(ADP!$C:$C,A38)+COUNTIF(MODELOS!$C:$C,A38)</f>
        <v>12</v>
      </c>
      <c r="D38" s="5" t="n">
        <f aca="false">COUNTIFS(MEC!$C:$C,A38,MEC!$B:$B,"T1")+COUNTIFS(ADP!$C:$C,A38,ADP!$B:$B,"T1")+COUNTIFS(MODELOS!$C:$C,A38,MODELOS!$B:$B,"T1")</f>
        <v>2</v>
      </c>
      <c r="E38" s="16"/>
      <c r="F38" s="17" t="str">
        <f aca="false">IF(E38="","",E38/C38)</f>
        <v/>
      </c>
    </row>
    <row r="39" customFormat="false" ht="15" hidden="false" customHeight="false" outlineLevel="0" collapsed="false">
      <c r="A39" s="5" t="s">
        <v>584</v>
      </c>
      <c r="B39" s="5" t="s">
        <v>585</v>
      </c>
      <c r="C39" s="5" t="n">
        <f aca="false">COUNTIF(MEC!$C:$C,A39)+COUNTIF(ADP!$C:$C,A39)+COUNTIF(MODELOS!$C:$C,A39)</f>
        <v>7</v>
      </c>
      <c r="D39" s="5" t="n">
        <f aca="false">COUNTIFS(MEC!$C:$C,A39,MEC!$B:$B,"T1")+COUNTIFS(ADP!$C:$C,A39,ADP!$B:$B,"T1")+COUNTIFS(MODELOS!$C:$C,A39,MODELOS!$B:$B,"T1")</f>
        <v>7</v>
      </c>
      <c r="E39" s="16"/>
      <c r="F39" s="17" t="str">
        <f aca="false">IF(E39="","",E39/C39)</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2026-09-17T15:11:01Z</dcterms:created>
  <dc:creator>openpyxl</dc:creator>
  <dc:description/>
  <dc:language>en-US</dc:language>
  <cp:lastModifiedBy/>
  <dcterms:modified xsi:type="dcterms:W3CDTF">2026-09-17T15:11:01Z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